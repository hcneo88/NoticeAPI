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3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\Work\java\NoticesAPI\src\main\database\"/>
    </mc:Choice>
  </mc:AlternateContent>
  <xr:revisionPtr revIDLastSave="0" documentId="13_ncr:1_{E1E08BF8-B7C0-4D14-95EC-ADDF9A403B3C}" xr6:coauthVersionLast="40" xr6:coauthVersionMax="43" xr10:uidLastSave="{00000000-0000-0000-0000-000000000000}"/>
  <bookViews>
    <workbookView xWindow="-109" yWindow="-109" windowWidth="23257" windowHeight="12715" xr2:uid="{379E9E21-E98F-451B-A415-96BCA6262972}"/>
  </bookViews>
  <sheets>
    <sheet name="CM_Signatory" sheetId="16" r:id="rId1"/>
    <sheet name="CM_LetterHead" sheetId="15" r:id="rId2"/>
    <sheet name="CM_Notices" sheetId="14" r:id="rId3"/>
    <sheet name="CM_NoticeFields" sheetId="13" r:id="rId4"/>
    <sheet name="Template" sheetId="4" r:id="rId5"/>
    <sheet name="Generate UID" sheetId="12" r:id="rId6"/>
    <sheet name="AC_Role" sheetId="1" r:id="rId7"/>
    <sheet name="AC_User" sheetId="3" r:id="rId8"/>
    <sheet name="AC_UserRole" sheetId="5" r:id="rId9"/>
    <sheet name="AC_Function" sheetId="7" r:id="rId10"/>
    <sheet name="AC_FunctionRole" sheetId="8" r:id="rId11"/>
    <sheet name="AC_FunctionAPI" sheetId="10" r:id="rId12"/>
    <sheet name="SC_Config" sheetId="11" r:id="rId13"/>
  </sheets>
  <functionGroups builtInGroupCount="19"/>
  <definedNames>
    <definedName name="funcId">AC_Function!$D$2:$D$9</definedName>
    <definedName name="funcName">AC_Function!$C$3:$C$10</definedName>
    <definedName name="funcRole">AC_FunctionRole!$B$2:$C$4</definedName>
    <definedName name="funcRoleNames">AC_FunctionRole!$H$2:$I$4</definedName>
    <definedName name="functable">AC_Function!$C$3:$D$10</definedName>
    <definedName name="noticeTable">CM_Notices!$N$2:$O$5</definedName>
    <definedName name="observableRange">AC_FunctionRole!$J$2:$J$4</definedName>
    <definedName name="roleId">AC_Role!$B$3:$B$7</definedName>
    <definedName name="roleName">AC_Role!$A$2:$A$7</definedName>
    <definedName name="RoleTable">AC_Role!$A$2:$B$7</definedName>
    <definedName name="roleUsers">AC_UserRole!$H$2:$I$10</definedName>
    <definedName name="userName">AC_User!$A$2:$A$9</definedName>
    <definedName name="UserTable">AC_User!$A$2:$B$9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" i="14" l="1"/>
  <c r="O2" i="14"/>
  <c r="B2" i="13"/>
  <c r="B7" i="13"/>
  <c r="O4" i="14"/>
  <c r="N3" i="14"/>
  <c r="N4" i="14"/>
  <c r="B10" i="13"/>
  <c r="B13" i="13"/>
  <c r="B12" i="13"/>
  <c r="B11" i="13"/>
  <c r="O3" i="14"/>
  <c r="B9" i="13"/>
  <c r="B8" i="13"/>
  <c r="B6" i="13"/>
  <c r="B5" i="13"/>
  <c r="B4" i="13"/>
  <c r="B3" i="13"/>
  <c r="O5" i="14"/>
  <c r="N5" i="14"/>
  <c r="I5" i="14"/>
  <c r="I4" i="14"/>
  <c r="I3" i="14"/>
  <c r="I2" i="14"/>
  <c r="B2" i="5"/>
  <c r="A4" i="12"/>
  <c r="A5" i="12"/>
  <c r="A6" i="12"/>
  <c r="A7" i="12"/>
  <c r="A8" i="12"/>
  <c r="A3" i="12"/>
  <c r="B9" i="8"/>
  <c r="E10" i="7"/>
  <c r="E4" i="7"/>
  <c r="E8" i="7"/>
  <c r="J9" i="8"/>
  <c r="C9" i="8"/>
  <c r="B13" i="8"/>
  <c r="J13" i="8"/>
  <c r="C13" i="8"/>
  <c r="K13" i="8"/>
  <c r="K12" i="8"/>
  <c r="K11" i="8"/>
  <c r="K10" i="8"/>
  <c r="B10" i="8"/>
  <c r="E3" i="7"/>
  <c r="J10" i="8"/>
  <c r="C10" i="8"/>
  <c r="B12" i="8"/>
  <c r="E5" i="7"/>
  <c r="J12" i="8"/>
  <c r="B11" i="8"/>
  <c r="J11" i="8"/>
  <c r="C12" i="8"/>
  <c r="C11" i="8"/>
  <c r="K8" i="8"/>
  <c r="K7" i="8"/>
  <c r="K6" i="8"/>
  <c r="K5" i="8"/>
  <c r="K4" i="8"/>
  <c r="K3" i="8"/>
  <c r="B11" i="5"/>
  <c r="C11" i="5"/>
  <c r="B10" i="5"/>
  <c r="C10" i="5"/>
  <c r="K2" i="8"/>
  <c r="B7" i="8"/>
  <c r="J7" i="8"/>
  <c r="I2" i="10"/>
  <c r="B2" i="8"/>
  <c r="E9" i="7"/>
  <c r="J2" i="8"/>
  <c r="E7" i="7"/>
  <c r="E6" i="7"/>
  <c r="B6" i="8"/>
  <c r="J6" i="8"/>
  <c r="B5" i="8"/>
  <c r="J5" i="8"/>
  <c r="B8" i="8"/>
  <c r="J8" i="8"/>
  <c r="B4" i="8"/>
  <c r="J4" i="8"/>
  <c r="M8" i="7"/>
  <c r="M9" i="7"/>
  <c r="I3" i="10"/>
  <c r="B3" i="8"/>
  <c r="J3" i="8"/>
  <c r="M6" i="7"/>
  <c r="M7" i="7"/>
  <c r="M4" i="7"/>
  <c r="J3" i="10"/>
  <c r="M3" i="7"/>
  <c r="M5" i="7"/>
  <c r="J2" i="10"/>
  <c r="M10" i="7"/>
  <c r="B2" i="10"/>
  <c r="B3" i="10"/>
  <c r="B8" i="5"/>
  <c r="B7" i="5"/>
  <c r="B6" i="5"/>
  <c r="B5" i="5"/>
  <c r="B4" i="5"/>
  <c r="B3" i="5"/>
  <c r="C9" i="5"/>
  <c r="C8" i="5"/>
  <c r="C7" i="5"/>
  <c r="C6" i="5"/>
  <c r="C5" i="5"/>
  <c r="C4" i="5"/>
  <c r="C3" i="5"/>
  <c r="C2" i="5"/>
  <c r="C7" i="8"/>
  <c r="C8" i="8"/>
  <c r="C6" i="8"/>
  <c r="C2" i="8"/>
  <c r="C3" i="8"/>
  <c r="C4" i="8"/>
  <c r="C5" i="8"/>
  <c r="B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Neo Hwee Choon  (NCS)</author>
  </authors>
  <commentList>
    <comment ref="D2" authorId="0" shapeId="0" xr:uid="{DC6DFA7A-1A0B-4EF1-AE19-C6F76A76B66C}">
      <text>
        <r>
          <rPr>
            <b/>
            <sz val="9"/>
            <color indexed="81"/>
            <rFont val="Tahoma"/>
            <family val="2"/>
          </rPr>
          <t>IMPORTANT: DO NOT CHANGE func_id and parent_id !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<sst xmlns="http://schemas.openxmlformats.org/spreadsheetml/2006/main" count="952" uniqueCount="381">
  <si>
    <t>role_id</t>
  </si>
  <si>
    <t>role_name</t>
  </si>
  <si>
    <t>created_by</t>
  </si>
  <si>
    <t>updated_by</t>
  </si>
  <si>
    <t xml:space="preserve"> version_no</t>
  </si>
  <si>
    <t>Default</t>
  </si>
  <si>
    <t>A</t>
  </si>
  <si>
    <t>SYSTEM</t>
  </si>
  <si>
    <t>Column3</t>
  </si>
  <si>
    <t xml:space="preserve"> </t>
  </si>
  <si>
    <t>user_id</t>
  </si>
  <si>
    <t>user_name</t>
  </si>
  <si>
    <t>access_cd</t>
  </si>
  <si>
    <t>Note</t>
  </si>
  <si>
    <t>bcrypted password</t>
  </si>
  <si>
    <t>full_name</t>
  </si>
  <si>
    <t>status_cd</t>
  </si>
  <si>
    <t>email_address</t>
  </si>
  <si>
    <t>contact_number</t>
  </si>
  <si>
    <t>userrole_id</t>
  </si>
  <si>
    <t>func_id</t>
  </si>
  <si>
    <t>func_type</t>
  </si>
  <si>
    <t>func_name</t>
  </si>
  <si>
    <t>parent_id</t>
  </si>
  <si>
    <t>route_path</t>
  </si>
  <si>
    <t>route_icon</t>
  </si>
  <si>
    <t>R</t>
  </si>
  <si>
    <t>Root</t>
  </si>
  <si>
    <t>Mandatory row,  do not remove</t>
  </si>
  <si>
    <t>funcrole_id</t>
  </si>
  <si>
    <t>api_id</t>
  </si>
  <si>
    <t>config_id</t>
  </si>
  <si>
    <t>config_type</t>
  </si>
  <si>
    <t>config_value</t>
  </si>
  <si>
    <t>`</t>
  </si>
  <si>
    <t>config_category</t>
  </si>
  <si>
    <t>Crytpo</t>
  </si>
  <si>
    <t>crypto.serversecret</t>
  </si>
  <si>
    <t>crypto.jwttoken</t>
  </si>
  <si>
    <t>crypto.jwtversion</t>
  </si>
  <si>
    <t>crypto.jwtissuer</t>
  </si>
  <si>
    <t>crypto.jwtduration</t>
  </si>
  <si>
    <t>crypto.public</t>
  </si>
  <si>
    <t>crypto.private</t>
  </si>
  <si>
    <t>accessManagementController.idleTime</t>
  </si>
  <si>
    <t>accessManagementController.timeout</t>
  </si>
  <si>
    <t>transmogrifier.securedata</t>
  </si>
  <si>
    <t>config_key</t>
  </si>
  <si>
    <t>S</t>
  </si>
  <si>
    <t>N</t>
  </si>
  <si>
    <t>B</t>
  </si>
  <si>
    <t>Access</t>
  </si>
  <si>
    <t>Crypto</t>
  </si>
  <si>
    <t>fzaXQTnniTN3sApH0o0cw4Etn4DJZrXF</t>
  </si>
  <si>
    <t>vTYee7TbRwn6g6agOEIOfac43YM2y6gTi8UavPDJXjIDOFVGnLfLwF1M3j3yOo8R</t>
  </si>
  <si>
    <t>WebSoft</t>
  </si>
  <si>
    <t>MIIBIjANBgkqhkiG9w0BAQEFAAOCAQ8AMIIBCgKCAQEAk8hTJ0fcR6PHDQHdQIV/p1G+WFQmryxkxhIBVRxTDLX3i4iEaUJi35mMgQ3fMLlyUZLw/EXOkK1O8jrSuvV+Qoc/pAw4E7gHp071czUdbdeK+B1QAmXVmnvBw4EwU+Gvo+msjvEP1M4pOH+ib3VThiK+EpOWn5yYViC4kTq5gZWDZiBDaGbmBla1J0/fVxQDS3Rq2bdQXNY5RybGbB6EHnVRTmt1iD+v6UGeDjTFs+Mv+Ac7/687hMPbQ/ogkawab5Wpd0UIqqC8jIN4zlR/iG/aZohP1NsH0U5cbOCIoNuFbMeFtg/G/e1oAGkgmyhPCsvMpeaIDkUN3iKF6gihpwIDAQAB</t>
  </si>
  <si>
    <t>MIIEvAIBADANBgkqhkiG9w0BAQEFAASCBKYwggSiAgEAAoIBAQCTyFMnR9xHo8cNAd1AhX+nUb5YVCavLGTGEgFVHFMMtfeLiIRpQmLfmYyBDd8wuXJRkvD8Rc6QrU7yOtK69X5Chz+kDDgTuAenTvVzNR1t14r4HVACZdWae8HDgTBT4a+j6ayO8Q/Uzik4f6JvdVOGIr4Sk5afnJhWILiROrmBlYNmIENoZuYGVrUnT99XFANLdGrZt1Bc1jlHJsZsHoQedVFOa3WIP6/pQZ4ONMWz4y/4Bzv/rzuEw9tD+iCRrBpvlal3RQiqoLyMg3jOVH+Ib9pmiE/U2wfRTlxs4Iig24Vsx4W2D8b97WgAaSCbKE8Ky8yl5ogORQ3eIoXqCKGnAgMBAAECggEANIETqf0J8hnp+mETLn0/oT6VleQv6kSneQekmYx6pSVxUY2rHYqMfkybcq5vAWyhhQHjxH04qoYoaj8j53CY7yIGJk6BDeBwN60B33CbiA7wPL6NUozDmyMk8ETR2rtwH5hByncy3LRySLRwDZFtn1ZwmUD+Xq7QIKl3aYGnrrXZCFvTNdUoS7BpWDXyTBtP7+gHxiSIxoxoKi/k9vL6ydUxGgA9JRJIzGxIkRmqFt9+cNm2ktjfsgUJm+06dMAYtktLYiMw4AXmltjhVMBCLPkQJ3FkkgJjzkK9GcCOYKb09gVRTXq6Pg7SeJrKmLrKZAae9YBmb0Thd/eW8LVQoQKBgQDXzgDJPRseBJj6k2aAWhvRWBBb/v1RWgrpty8htqqoMhd5zsM9hLKgcajdd/Q1AHBVGQxQd1OgctcmtvGuPGZ0PH0x2Ki1MUQyv6NcBbOKEvTbuzBGGOBEv7dUX9HJ4iG+fz3l5QwIEFjtUparPfxUoRWFVaQt0fDTsFtRZMQQVQKBgQCvTuOVPeUckYsvmSciL+EP1PU8N24lEATOGsNzM5WHFFfqmCN03bEO9CHpNUEwmgL1bixQgGddNEORObTF3vD5YYl5XOwR/5kRd2L9t4Do/9iGbQ2U+jiIN9LONq/s9A6jYeFTQ0Vddm4UepKyuDFD6hMg9nY0PeA0DnQkM4I2CwKBgB2SwG7TbeTmMmScUH6kWo2MqOlCf0pnsXknvlC7bJWSD7+EgyLqDWSJTt/SsWeWAM7YmORqBc7GDg/jICmFY3DoXSu4ih4Se0sNEgDpUxpH0MBP3aStggZJ04C/hMtKrt8hJsVbZxOv0c/r8nPTEcIzNPTJsK8KxxrrXwg/a9LlAoGADQhIUufvCFipiDhSeHAmww6JzJgyT/8I3GmQ7hd/njMc9gupVx7D8uCjRLr4xawtXCF8md9xz7P68ejgT3VrZJ6joaoOwqfFsU62xTXHF4sthZDF2bVgToAX48yc93iNPgggwBfYKEKNnGggT7jxsKLOGT05PFj9OeF5MNfDblECgYBSQK73LRHIvz2tMWQXr8+xUH3/SXpcAHCv4saeGz+Rq1zALaDCZDv9zTl16dKWYU9StlrdWpLyvg52l5tjiGYgiUKFsfPhJfZMKHugGxk+H4H8OuQ7Pc2Lkk9PkM4GGmFAImR9/PDkVX1bS7FfXw351Wai/j9JJMtDdPOqjpW9dg==</t>
  </si>
  <si>
    <t>config_remark</t>
  </si>
  <si>
    <t>Server AES key. Make sure it is 32 bytes</t>
  </si>
  <si>
    <t>JWT signing key.  Make sure it is 64 bytes</t>
  </si>
  <si>
    <t>The validity duration of the JWT.  In milliseconds</t>
  </si>
  <si>
    <t>The server public key used to encrypt user password and session AES key during login</t>
  </si>
  <si>
    <t>The server private key used to decrypt user password and session AES key during login</t>
  </si>
  <si>
    <t>Set to true to require client side global encryption</t>
  </si>
  <si>
    <t>Minutes without user activity before prompting for timeout at client side</t>
  </si>
  <si>
    <t>Grace period from idle event before auto logout at client side</t>
  </si>
  <si>
    <t>PermitAllUrl</t>
  </si>
  <si>
    <t>/access/login</t>
  </si>
  <si>
    <t>/access/logout</t>
  </si>
  <si>
    <t>/access/getkey</t>
  </si>
  <si>
    <t>/favicon.ico</t>
  </si>
  <si>
    <t>/public/*</t>
  </si>
  <si>
    <t>Set to true to enable server side global encryption</t>
  </si>
  <si>
    <t>version_no</t>
  </si>
  <si>
    <t>**</t>
  </si>
  <si>
    <t xml:space="preserve">** </t>
  </si>
  <si>
    <t>&lt;= Do not remove.  Login mechanism requires a default role to function correctly</t>
  </si>
  <si>
    <t>&lt;= Every user MUST be assigned to the default role</t>
  </si>
  <si>
    <t>hcneo</t>
  </si>
  <si>
    <t>$2a$10$zSKnZhFTqnTS7/TcDPc/EefrF5H4fYO2AdqIwYUnGSGeGp9J1aRt.</t>
  </si>
  <si>
    <t>hcneo fullname</t>
  </si>
  <si>
    <t>maxneo</t>
  </si>
  <si>
    <t>hyneo fullname</t>
  </si>
  <si>
    <t>pgong</t>
  </si>
  <si>
    <t>pgong fullname</t>
  </si>
  <si>
    <t>psong</t>
  </si>
  <si>
    <t>psong fullname</t>
  </si>
  <si>
    <t>scong</t>
  </si>
  <si>
    <t>scong fullname</t>
  </si>
  <si>
    <t>phong</t>
  </si>
  <si>
    <t>phong fullname</t>
  </si>
  <si>
    <t>aktan</t>
  </si>
  <si>
    <t>aktan fullname</t>
  </si>
  <si>
    <t>Finance Admin</t>
  </si>
  <si>
    <t>Finance Manager</t>
  </si>
  <si>
    <t>Loan Clerk</t>
  </si>
  <si>
    <t>Loan Assessor</t>
  </si>
  <si>
    <t>Loan Manager</t>
  </si>
  <si>
    <t>failed_attempts</t>
  </si>
  <si>
    <t>Max failed login failure before account suspension</t>
  </si>
  <si>
    <t>accessManagementController.maxLoginFailedCount</t>
  </si>
  <si>
    <t>Derived from Column H</t>
  </si>
  <si>
    <t>Derived from column G</t>
  </si>
  <si>
    <t>Role Name</t>
  </si>
  <si>
    <t>Username</t>
  </si>
  <si>
    <t>Add record this row</t>
  </si>
  <si>
    <t>Marker for last row and column.  Do NOT remove</t>
  </si>
  <si>
    <t>Function Name :  PLEASE DO NOTE SELECT THE ROOT FUNCTION</t>
  </si>
  <si>
    <t>accessManagementController.minpasswordlength</t>
  </si>
  <si>
    <t>Minimum password length.</t>
  </si>
  <si>
    <t>accessManagementController.blockperiodforlogin</t>
  </si>
  <si>
    <t>Number of minutes before user is allowed to re-login when browser with active session is closed accidentally</t>
  </si>
  <si>
    <t>accessManagementController.securedata</t>
  </si>
  <si>
    <t>/access/getconfig</t>
  </si>
  <si>
    <t>/access/refreshJWT</t>
  </si>
  <si>
    <t>List of unprotected URL.   The key is used to match the incoming URL.  The value can be anything</t>
  </si>
  <si>
    <t>List of URL granted to all authenticated users regardless of their assigned fucntional roles.  The key is used to match incoming URL. The value can be anything</t>
  </si>
  <si>
    <t>config_status</t>
  </si>
  <si>
    <t>PermitAuthenticatedUrl</t>
  </si>
  <si>
    <t xml:space="preserve">Function Type </t>
  </si>
  <si>
    <t>Online function</t>
  </si>
  <si>
    <t xml:space="preserve">F </t>
  </si>
  <si>
    <t>Function Name (Choose from AC_Function)</t>
  </si>
  <si>
    <t>F</t>
  </si>
  <si>
    <t>Derived from AC_FunctionRole  based on function choosen in column H</t>
  </si>
  <si>
    <t>Account Management</t>
  </si>
  <si>
    <t>test</t>
  </si>
  <si>
    <t>account_balance</t>
  </si>
  <si>
    <t>Account Opening</t>
  </si>
  <si>
    <t>AcctOpen</t>
  </si>
  <si>
    <t>account_box</t>
  </si>
  <si>
    <t>Account Closing</t>
  </si>
  <si>
    <t>AcctClose</t>
  </si>
  <si>
    <t>account_circle</t>
  </si>
  <si>
    <t>Loans Application</t>
  </si>
  <si>
    <t>LoanApp</t>
  </si>
  <si>
    <t>attach_money</t>
  </si>
  <si>
    <t>Loans Processing</t>
  </si>
  <si>
    <t>LoanProc</t>
  </si>
  <si>
    <t>money</t>
  </si>
  <si>
    <t>Loans Approval</t>
  </si>
  <si>
    <t>LoanAppr</t>
  </si>
  <si>
    <t>Loans Rejection</t>
  </si>
  <si>
    <t>LoanReject</t>
  </si>
  <si>
    <t>Risk Asessment</t>
  </si>
  <si>
    <t>RiskAssess</t>
  </si>
  <si>
    <t>func_label</t>
  </si>
  <si>
    <t>AcctMgt</t>
  </si>
  <si>
    <t>AccMgt.Opening</t>
  </si>
  <si>
    <t>AccMgt.Closing</t>
  </si>
  <si>
    <t>LoanApps</t>
  </si>
  <si>
    <t>LoanProcessing</t>
  </si>
  <si>
    <t>LoanProcessing.Approval</t>
  </si>
  <si>
    <t>LoadProcessing.Rejection</t>
  </si>
  <si>
    <t>LoanProcessing.RiskAssessment</t>
  </si>
  <si>
    <t>Has parent function been assigned to the same role  that is assigned to the node function ?</t>
  </si>
  <si>
    <t>Is this a node function ?</t>
  </si>
  <si>
    <t>NOTE : Parent node needs to be assigned to the same role as node function</t>
  </si>
  <si>
    <t>API can only be invoked in node function (ie function that is not a parent of other function).   To unassigned those denoted as FALSE.</t>
  </si>
  <si>
    <t>/logger/logs</t>
  </si>
  <si>
    <t>/access/changepassword</t>
  </si>
  <si>
    <t>/logger/stats</t>
  </si>
  <si>
    <t>F1000</t>
  </si>
  <si>
    <t>F1001</t>
  </si>
  <si>
    <t>F1002</t>
  </si>
  <si>
    <t>F2000</t>
  </si>
  <si>
    <t>F2001</t>
  </si>
  <si>
    <t>F2011</t>
  </si>
  <si>
    <t>F2012</t>
  </si>
  <si>
    <t>F2021</t>
  </si>
  <si>
    <t>/api/private/echo</t>
  </si>
  <si>
    <t>/access/getRoles</t>
  </si>
  <si>
    <r>
      <t xml:space="preserve">Assigned Role
</t>
    </r>
    <r>
      <rPr>
        <b/>
        <sz val="11"/>
        <rFont val="Calibri"/>
        <family val="2"/>
        <scheme val="minor"/>
      </rPr>
      <t xml:space="preserve">If cell is blank, it means that the Function has not been assigned to a role in tab AC_FunctionRole. </t>
    </r>
    <r>
      <rPr>
        <b/>
        <sz val="11"/>
        <color rgb="FFC00000"/>
        <rFont val="Calibri"/>
        <family val="2"/>
        <scheme val="minor"/>
      </rPr>
      <t xml:space="preserve"> PLEASE CHECK</t>
    </r>
    <r>
      <rPr>
        <b/>
        <sz val="11"/>
        <rFont val="Calibri"/>
        <family val="2"/>
        <scheme val="minor"/>
      </rPr>
      <t xml:space="preserve"> </t>
    </r>
  </si>
  <si>
    <t>root</t>
  </si>
  <si>
    <t>root account</t>
  </si>
  <si>
    <t>&lt;= Make sure the button is in column B</t>
  </si>
  <si>
    <r>
      <t xml:space="preserve">Is this a valid API Assignment ?  As API can </t>
    </r>
    <r>
      <rPr>
        <b/>
        <sz val="11"/>
        <color rgb="FFC00000"/>
        <rFont val="Calibri"/>
        <family val="2"/>
        <scheme val="minor"/>
      </rPr>
      <t>ONLY</t>
    </r>
    <r>
      <rPr>
        <b/>
        <sz val="11"/>
        <color theme="1"/>
        <rFont val="Calibri"/>
        <family val="2"/>
        <scheme val="minor"/>
      </rPr>
      <t xml:space="preserve"> be assigned to node function, </t>
    </r>
    <r>
      <rPr>
        <b/>
        <sz val="11"/>
        <color rgb="FFFF0000"/>
        <rFont val="Calibri"/>
        <family val="2"/>
        <scheme val="minor"/>
      </rPr>
      <t>FALSE</t>
    </r>
    <r>
      <rPr>
        <b/>
        <sz val="11"/>
        <color theme="1"/>
        <rFont val="Calibri"/>
        <family val="2"/>
        <scheme val="minor"/>
      </rPr>
      <t xml:space="preserve"> means the API is assigned to a function which is a parent - need to remove</t>
    </r>
  </si>
  <si>
    <t>The same function can be assigned to more than 1 role.  Do make sure the same roles are assigned to the child function if the function is not a node function</t>
  </si>
  <si>
    <t>List of users assigned</t>
  </si>
  <si>
    <t>Derived from Column I</t>
  </si>
  <si>
    <t>201021151545734992</t>
  </si>
  <si>
    <t>201021151605580081</t>
  </si>
  <si>
    <t>201021151605621566</t>
  </si>
  <si>
    <t>201021151605360606</t>
  </si>
  <si>
    <t>201021151605371753</t>
  </si>
  <si>
    <t>201021151605797266</t>
  </si>
  <si>
    <t>201021151605112615</t>
  </si>
  <si>
    <t>201021151605784651</t>
  </si>
  <si>
    <t>201021151605833041</t>
  </si>
  <si>
    <t>201021151605738134</t>
  </si>
  <si>
    <t>uri_path</t>
  </si>
  <si>
    <t>1</t>
  </si>
  <si>
    <t>&lt;= simulated an user who is assgined to multiple role with overlapping functional access</t>
  </si>
  <si>
    <t>Generated Number</t>
  </si>
  <si>
    <t>Sno</t>
  </si>
  <si>
    <t>M</t>
  </si>
  <si>
    <t>func_seq</t>
  </si>
  <si>
    <t>2010251236338421419B</t>
  </si>
  <si>
    <t>2010251236336302467S</t>
  </si>
  <si>
    <t>2010251236339874838C</t>
  </si>
  <si>
    <t>2010251236339198678M</t>
  </si>
  <si>
    <t>2010251236333041794B</t>
  </si>
  <si>
    <t>2010251236337256039G</t>
  </si>
  <si>
    <t>2010251236339820029Q</t>
  </si>
  <si>
    <t>2010251236333195382D</t>
  </si>
  <si>
    <t>2010251236335804857D</t>
  </si>
  <si>
    <t>2010251236331957327I</t>
  </si>
  <si>
    <t>2010251236339994731Y</t>
  </si>
  <si>
    <t>2010251236337085583H</t>
  </si>
  <si>
    <t>2010251236331141335P</t>
  </si>
  <si>
    <t>2010251236336176654Q</t>
  </si>
  <si>
    <t>2010251236331900470F</t>
  </si>
  <si>
    <t>2010251236331927203M</t>
  </si>
  <si>
    <t>2010251236338189959L</t>
  </si>
  <si>
    <t>2010251236333560322N</t>
  </si>
  <si>
    <t>2010251236331410842S</t>
  </si>
  <si>
    <t>2010251236333661955U</t>
  </si>
  <si>
    <t>2010251236334438096J</t>
  </si>
  <si>
    <t>2010251236333708734L</t>
  </si>
  <si>
    <t>2010251236339537139G</t>
  </si>
  <si>
    <t>2010251236339818464G</t>
  </si>
  <si>
    <t>2010251237242868050A</t>
  </si>
  <si>
    <t>2010251237242674121J</t>
  </si>
  <si>
    <t>2010251237246250231Y</t>
  </si>
  <si>
    <t>2010251237241726431Y</t>
  </si>
  <si>
    <t>2010251237245121743W</t>
  </si>
  <si>
    <t>1000000000000000000A</t>
  </si>
  <si>
    <t>2010251238269151568W</t>
  </si>
  <si>
    <t>2010251238263352314G</t>
  </si>
  <si>
    <t>2010251238268066909L</t>
  </si>
  <si>
    <t>2010251238264410122N</t>
  </si>
  <si>
    <t>2010251238263606985P</t>
  </si>
  <si>
    <t>2010251238269274393W</t>
  </si>
  <si>
    <t>2010251238266685681Y</t>
  </si>
  <si>
    <t>2010251238266648778M</t>
  </si>
  <si>
    <t>2010251238591881764G</t>
  </si>
  <si>
    <t>2010251238596049360P</t>
  </si>
  <si>
    <t>2010251238597250367S</t>
  </si>
  <si>
    <t>2010251238599223458H</t>
  </si>
  <si>
    <t>2010251238598513354Q</t>
  </si>
  <si>
    <t>2010251238591203662X</t>
  </si>
  <si>
    <t>2010251238595890245F</t>
  </si>
  <si>
    <t>2010251238599245475A</t>
  </si>
  <si>
    <t>2010251239477101529Q</t>
  </si>
  <si>
    <t>2010251239475522085P</t>
  </si>
  <si>
    <t>2010251317592400967S</t>
  </si>
  <si>
    <t>2010251317595270132D</t>
  </si>
  <si>
    <t>2010251317593315408H</t>
  </si>
  <si>
    <t>2010251317596658766O</t>
  </si>
  <si>
    <t>2010251317595878631Y</t>
  </si>
  <si>
    <t>2010251317592406719B</t>
  </si>
  <si>
    <t>2010251317599446906Y</t>
  </si>
  <si>
    <t>assignRole</t>
  </si>
  <si>
    <t>Please verify</t>
  </si>
  <si>
    <t>2010251714015554786T</t>
  </si>
  <si>
    <t>2010251714014514243W</t>
  </si>
  <si>
    <t>2010251714011966377I</t>
  </si>
  <si>
    <t>2010251714018055957D</t>
  </si>
  <si>
    <t>2010251714015136767S</t>
  </si>
  <si>
    <t>2010251714017783192S</t>
  </si>
  <si>
    <t>2010251714016364850A</t>
  </si>
  <si>
    <t>2010251714018494571J</t>
  </si>
  <si>
    <t>2010251714011168825A</t>
  </si>
  <si>
    <t>2010251714012893317S</t>
  </si>
  <si>
    <t>20201025171444194907D</t>
  </si>
  <si>
    <t>2020102517160039852I</t>
  </si>
  <si>
    <t>2020102720470373499V</t>
  </si>
  <si>
    <t>/access/getFunctionList</t>
  </si>
  <si>
    <t>to include client side log level settings</t>
  </si>
  <si>
    <t>field_id</t>
  </si>
  <si>
    <t>notice_id</t>
  </si>
  <si>
    <t>field_name</t>
  </si>
  <si>
    <t>field_type_cd</t>
  </si>
  <si>
    <t>AS</t>
  </si>
  <si>
    <t>Category</t>
  </si>
  <si>
    <t>Type</t>
  </si>
  <si>
    <t>T</t>
  </si>
  <si>
    <t>Asci</t>
  </si>
  <si>
    <t>D</t>
  </si>
  <si>
    <t>String</t>
  </si>
  <si>
    <t>Number</t>
  </si>
  <si>
    <t>Float</t>
  </si>
  <si>
    <t>DateTime</t>
  </si>
  <si>
    <t>I</t>
  </si>
  <si>
    <t>Image</t>
  </si>
  <si>
    <t>Q</t>
  </si>
  <si>
    <t>QR image</t>
  </si>
  <si>
    <t>2022030622143688430U</t>
  </si>
  <si>
    <t>2022030622143615061T</t>
  </si>
  <si>
    <t>2022030622143695460P</t>
  </si>
  <si>
    <t>2022030622143642761T</t>
  </si>
  <si>
    <t>2022030622143657238C</t>
  </si>
  <si>
    <t>2022030622154063321J</t>
  </si>
  <si>
    <t>2022030622154052183H</t>
  </si>
  <si>
    <t>2022030622220636834L</t>
  </si>
  <si>
    <t>2022030622220666042S</t>
  </si>
  <si>
    <t>2022030622220668303M</t>
  </si>
  <si>
    <t>Table</t>
  </si>
  <si>
    <t>AN</t>
  </si>
  <si>
    <t>AF</t>
  </si>
  <si>
    <t>AD</t>
  </si>
  <si>
    <t>TS</t>
  </si>
  <si>
    <t>TN</t>
  </si>
  <si>
    <t>TF</t>
  </si>
  <si>
    <t>TD</t>
  </si>
  <si>
    <t>2022030622260533741O</t>
  </si>
  <si>
    <t>2022030622260535140K</t>
  </si>
  <si>
    <t>2022030622260584682D</t>
  </si>
  <si>
    <t>notice_num</t>
  </si>
  <si>
    <t>Y</t>
  </si>
  <si>
    <t>2022030710482681143W</t>
  </si>
  <si>
    <t>2022030710482696575A</t>
  </si>
  <si>
    <t>2022030710482688430U</t>
  </si>
  <si>
    <t>notice_title</t>
  </si>
  <si>
    <t>recipient_type_cd</t>
  </si>
  <si>
    <t>print_type_cd</t>
  </si>
  <si>
    <t>revision_no</t>
  </si>
  <si>
    <t>letterhead_id</t>
  </si>
  <si>
    <t>eff_start_date</t>
  </si>
  <si>
    <t>UC0101N001</t>
  </si>
  <si>
    <t>UC0101N002</t>
  </si>
  <si>
    <t>UC0101N003</t>
  </si>
  <si>
    <t>UC0101N004</t>
  </si>
  <si>
    <t>Renewal Notice</t>
  </si>
  <si>
    <t>Regisration confirmation</t>
  </si>
  <si>
    <t>Reminder Noitce</t>
  </si>
  <si>
    <t>Confirmation Notice</t>
  </si>
  <si>
    <t>L</t>
  </si>
  <si>
    <t>O</t>
  </si>
  <si>
    <t>letterhead_title</t>
  </si>
  <si>
    <t>2022030711002733741O</t>
  </si>
  <si>
    <t>2022030711002735140K</t>
  </si>
  <si>
    <t>2022030711002784682D</t>
  </si>
  <si>
    <t>SYSTTEM</t>
  </si>
  <si>
    <t>0</t>
  </si>
  <si>
    <t>Header and Footer</t>
  </si>
  <si>
    <t>Footer only</t>
  </si>
  <si>
    <t>Lookup for CM_NoticeFields</t>
  </si>
  <si>
    <t>revision no</t>
  </si>
  <si>
    <t>These 2 columns are 'helper' column to derive the notice id from the CM_Notices table</t>
  </si>
  <si>
    <t>These 2 columns are used to provide the notice id in CM_NoticeField table</t>
  </si>
  <si>
    <t>mandatory_cd</t>
  </si>
  <si>
    <t>2022030712511430417S</t>
  </si>
  <si>
    <t>Header only</t>
  </si>
  <si>
    <t>&lt;= Do NOT Change</t>
  </si>
  <si>
    <t>Z</t>
  </si>
  <si>
    <t>No Header and Footer template</t>
  </si>
  <si>
    <t>apptdate</t>
  </si>
  <si>
    <t>validityperiod</t>
  </si>
  <si>
    <t>arfamount</t>
  </si>
  <si>
    <t>regdate</t>
  </si>
  <si>
    <t>modeltext</t>
  </si>
  <si>
    <t>vehiclenumber</t>
  </si>
  <si>
    <t>2022031110384973499V</t>
  </si>
  <si>
    <t>qrtransactioncode</t>
  </si>
  <si>
    <t>2022031111455858008H</t>
  </si>
  <si>
    <t>image</t>
  </si>
  <si>
    <t>QS</t>
  </si>
  <si>
    <t>sku</t>
  </si>
  <si>
    <t>qty</t>
  </si>
  <si>
    <t>value</t>
  </si>
  <si>
    <t xml:space="preserve">validity </t>
  </si>
  <si>
    <t>2022031212202873499V</t>
  </si>
  <si>
    <t>2022031212202858008H</t>
  </si>
  <si>
    <t>signatory_id</t>
  </si>
  <si>
    <t>signatory_title</t>
  </si>
  <si>
    <t>signoff_text</t>
  </si>
  <si>
    <t>Your faithfully,</t>
  </si>
  <si>
    <t>Your sincerely,</t>
  </si>
  <si>
    <t>designation_line1</t>
  </si>
  <si>
    <t>designation_line2</t>
  </si>
  <si>
    <t>designation_line3</t>
  </si>
  <si>
    <t>Director</t>
  </si>
  <si>
    <t>Product Sales</t>
  </si>
  <si>
    <t>Singapore Branch</t>
  </si>
  <si>
    <t>Manager</t>
  </si>
  <si>
    <t>Customer Service</t>
  </si>
  <si>
    <t>No Signatory neeed</t>
  </si>
  <si>
    <t>Signature from Product Sales team</t>
  </si>
  <si>
    <t>Signature from Customer Service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</si>
</sst>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4" x14ac:knownFonts="1">
    <font>
      <sz val="11"/>
      <color theme="1"/>
      <name val="Calibri"/>
      <family val="2"/>
      <scheme val="minor"/>
    </font>
    <font>
      <sz val="10"/>
      <color rgb="FF2C001E"/>
      <name val="Consolas"/>
      <family val="3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0000FF"/>
      <name val="Calibri"/>
      <family val="2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10"/>
      <color rgb="FFD4D4D4"/>
      <name val="Consolas"/>
      <family val="3"/>
    </font>
  </fonts>
  <fills count="1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theme="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-0.249977111117893"/>
        <bgColor theme="4" tint="0.7999816888943144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rgb="FFDEDBD8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7">
    <xf numFmtId="0" fontId="0" fillId="0" borderId="0" xfId="0"/>
    <xf numFmtId="0" fontId="1" fillId="0" borderId="1" xfId="0" applyFont="1" applyBorder="1" applyAlignment="1">
      <alignment horizontal="left" vertical="center"/>
    </xf>
    <xf numFmtId="0" fontId="2" fillId="0" borderId="0" xfId="0" applyFont="1"/>
    <xf numFmtId="49" fontId="0" fillId="0" borderId="0" xfId="0" applyNumberFormat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49" fontId="0" fillId="3" borderId="6" xfId="0" applyNumberFormat="1" applyFont="1" applyFill="1" applyBorder="1"/>
    <xf numFmtId="49" fontId="0" fillId="3" borderId="7" xfId="0" applyNumberFormat="1" applyFont="1" applyFill="1" applyBorder="1"/>
    <xf numFmtId="0" fontId="0" fillId="0" borderId="6" xfId="0" applyFont="1" applyBorder="1"/>
    <xf numFmtId="49" fontId="0" fillId="0" borderId="6" xfId="0" applyNumberFormat="1" applyFont="1" applyBorder="1"/>
    <xf numFmtId="49" fontId="0" fillId="0" borderId="7" xfId="0" applyNumberFormat="1" applyFont="1" applyBorder="1"/>
    <xf numFmtId="0" fontId="0" fillId="5" borderId="0" xfId="0" applyFill="1"/>
    <xf numFmtId="0" fontId="0" fillId="6" borderId="2" xfId="0" applyFont="1" applyFill="1" applyBorder="1"/>
    <xf numFmtId="0" fontId="0" fillId="6" borderId="3" xfId="0" applyFont="1" applyFill="1" applyBorder="1"/>
    <xf numFmtId="49" fontId="0" fillId="6" borderId="3" xfId="0" applyNumberFormat="1" applyFont="1" applyFill="1" applyBorder="1"/>
    <xf numFmtId="49" fontId="0" fillId="6" borderId="4" xfId="0" applyNumberFormat="1" applyFont="1" applyFill="1" applyBorder="1"/>
    <xf numFmtId="0" fontId="0" fillId="7" borderId="0" xfId="0" applyFill="1"/>
    <xf numFmtId="49" fontId="0" fillId="8" borderId="4" xfId="0" applyNumberFormat="1" applyFont="1" applyFill="1" applyBorder="1"/>
    <xf numFmtId="0" fontId="0" fillId="8" borderId="10" xfId="0" applyFont="1" applyFill="1" applyBorder="1" applyAlignment="1">
      <alignment vertical="top" wrapText="1"/>
    </xf>
    <xf numFmtId="0" fontId="0" fillId="9" borderId="10" xfId="0" applyFont="1" applyFill="1" applyBorder="1" applyAlignment="1">
      <alignment vertical="top" wrapText="1"/>
    </xf>
    <xf numFmtId="0" fontId="0" fillId="6" borderId="8" xfId="0" applyFont="1" applyFill="1" applyBorder="1"/>
    <xf numFmtId="49" fontId="0" fillId="6" borderId="9" xfId="0" applyNumberFormat="1" applyFont="1" applyFill="1" applyBorder="1"/>
    <xf numFmtId="0" fontId="0" fillId="0" borderId="10" xfId="0" applyFont="1" applyBorder="1" applyAlignment="1">
      <alignment vertical="top" wrapText="1"/>
    </xf>
    <xf numFmtId="0" fontId="2" fillId="10" borderId="0" xfId="0" applyFont="1" applyFill="1" applyBorder="1"/>
    <xf numFmtId="0" fontId="0" fillId="0" borderId="0" xfId="0" applyAlignment="1">
      <alignment horizontal="center" vertical="center"/>
    </xf>
    <xf numFmtId="0" fontId="3" fillId="2" borderId="10" xfId="0" applyFont="1" applyFill="1" applyBorder="1"/>
    <xf numFmtId="0" fontId="0" fillId="0" borderId="10" xfId="0" applyFont="1" applyFill="1" applyBorder="1"/>
    <xf numFmtId="0" fontId="0" fillId="0" borderId="10" xfId="0" applyFont="1" applyFill="1" applyBorder="1" applyAlignment="1">
      <alignment horizontal="center"/>
    </xf>
    <xf numFmtId="49" fontId="0" fillId="0" borderId="10" xfId="0" applyNumberFormat="1" applyFont="1" applyFill="1" applyBorder="1"/>
    <xf numFmtId="49" fontId="0" fillId="0" borderId="10" xfId="0" applyNumberFormat="1" applyFont="1" applyFill="1" applyBorder="1" applyAlignment="1">
      <alignment horizontal="center"/>
    </xf>
    <xf numFmtId="0" fontId="0" fillId="4" borderId="10" xfId="0" applyFont="1" applyFill="1" applyBorder="1"/>
    <xf numFmtId="0" fontId="0" fillId="4" borderId="10" xfId="0" applyFont="1" applyFill="1" applyBorder="1" applyAlignment="1">
      <alignment horizontal="center"/>
    </xf>
    <xf numFmtId="49" fontId="0" fillId="4" borderId="10" xfId="0" applyNumberFormat="1" applyFont="1" applyFill="1" applyBorder="1"/>
    <xf numFmtId="0" fontId="0" fillId="8" borderId="10" xfId="0" applyFont="1" applyFill="1" applyBorder="1" applyAlignment="1">
      <alignment vertical="top"/>
    </xf>
    <xf numFmtId="0" fontId="0" fillId="0" borderId="10" xfId="0" applyFont="1" applyBorder="1" applyAlignment="1">
      <alignment horizontal="left" vertical="top" wrapText="1"/>
    </xf>
    <xf numFmtId="0" fontId="0" fillId="9" borderId="10" xfId="0" applyFont="1" applyFill="1" applyBorder="1" applyAlignment="1">
      <alignment horizontal="left" vertical="top" wrapText="1"/>
    </xf>
    <xf numFmtId="0" fontId="0" fillId="9" borderId="10" xfId="0" applyFont="1" applyFill="1" applyBorder="1" applyAlignment="1">
      <alignment horizontal="right" vertical="top" wrapText="1"/>
    </xf>
    <xf numFmtId="0" fontId="0" fillId="0" borderId="10" xfId="0" quotePrefix="1" applyFont="1" applyBorder="1" applyAlignment="1">
      <alignment vertical="top" wrapText="1"/>
    </xf>
    <xf numFmtId="0" fontId="0" fillId="13" borderId="10" xfId="0" applyFill="1" applyBorder="1"/>
    <xf numFmtId="0" fontId="0" fillId="11" borderId="10" xfId="0" applyFont="1" applyFill="1" applyBorder="1"/>
    <xf numFmtId="0" fontId="0" fillId="16" borderId="10" xfId="0" applyFill="1" applyBorder="1"/>
    <xf numFmtId="0" fontId="0" fillId="17" borderId="10" xfId="0" applyFill="1" applyBorder="1"/>
    <xf numFmtId="0" fontId="3" fillId="2" borderId="11" xfId="0" applyFont="1" applyFill="1" applyBorder="1"/>
    <xf numFmtId="0" fontId="0" fillId="0" borderId="13" xfId="0" applyFont="1" applyFill="1" applyBorder="1"/>
    <xf numFmtId="0" fontId="0" fillId="18" borderId="17" xfId="0" applyFont="1" applyFill="1" applyBorder="1" applyAlignment="1">
      <alignment horizontal="center"/>
    </xf>
    <xf numFmtId="0" fontId="0" fillId="9" borderId="0" xfId="0" applyFill="1"/>
    <xf numFmtId="0" fontId="0" fillId="0" borderId="10" xfId="0" applyNumberFormat="1" applyFont="1" applyFill="1" applyBorder="1" applyAlignment="1">
      <alignment horizontal="center"/>
    </xf>
    <xf numFmtId="0" fontId="0" fillId="3" borderId="7" xfId="0" applyNumberFormat="1" applyFont="1" applyFill="1" applyBorder="1" applyAlignment="1">
      <alignment horizontal="center"/>
    </xf>
    <xf numFmtId="0" fontId="0" fillId="4" borderId="10" xfId="0" applyNumberFormat="1" applyFont="1" applyFill="1" applyBorder="1" applyAlignment="1">
      <alignment horizontal="center"/>
    </xf>
    <xf numFmtId="0" fontId="4" fillId="0" borderId="0" xfId="1"/>
    <xf numFmtId="0" fontId="0" fillId="8" borderId="10" xfId="0" applyFont="1" applyFill="1" applyBorder="1" applyAlignment="1">
      <alignment horizontal="center" vertical="top" wrapText="1"/>
    </xf>
    <xf numFmtId="0" fontId="0" fillId="8" borderId="10" xfId="0" applyFont="1" applyFill="1" applyBorder="1" applyAlignment="1">
      <alignment horizontal="center" vertical="top"/>
    </xf>
    <xf numFmtId="0" fontId="0" fillId="9" borderId="10" xfId="0" applyFont="1" applyFill="1" applyBorder="1" applyAlignment="1">
      <alignment horizontal="center" vertical="top"/>
    </xf>
    <xf numFmtId="0" fontId="0" fillId="0" borderId="10" xfId="0" applyFont="1" applyBorder="1" applyAlignment="1">
      <alignment horizontal="center" vertical="top"/>
    </xf>
    <xf numFmtId="0" fontId="0" fillId="0" borderId="10" xfId="0" applyFont="1" applyBorder="1" applyAlignment="1">
      <alignment vertical="top"/>
    </xf>
    <xf numFmtId="0" fontId="0" fillId="9" borderId="10" xfId="0" applyFont="1" applyFill="1" applyBorder="1" applyAlignment="1">
      <alignment vertical="top"/>
    </xf>
    <xf numFmtId="0" fontId="0" fillId="0" borderId="10" xfId="0" applyBorder="1" applyAlignment="1">
      <alignment wrapText="1"/>
    </xf>
    <xf numFmtId="0" fontId="0" fillId="0" borderId="10" xfId="0" applyBorder="1"/>
    <xf numFmtId="0" fontId="0" fillId="16" borderId="10" xfId="0" applyFill="1" applyBorder="1" applyAlignment="1">
      <alignment vertical="top"/>
    </xf>
    <xf numFmtId="0" fontId="6" fillId="0" borderId="0" xfId="0" applyFont="1"/>
    <xf numFmtId="0" fontId="3" fillId="2" borderId="10" xfId="0" applyFont="1" applyFill="1" applyBorder="1" applyAlignment="1">
      <alignment horizontal="left" vertical="top"/>
    </xf>
    <xf numFmtId="0" fontId="0" fillId="6" borderId="0" xfId="0" applyFont="1" applyFill="1" applyBorder="1"/>
    <xf numFmtId="0" fontId="0" fillId="0" borderId="0" xfId="0" applyBorder="1"/>
    <xf numFmtId="0" fontId="0" fillId="18" borderId="10" xfId="0" applyFont="1" applyFill="1" applyBorder="1" applyAlignment="1">
      <alignment horizontal="center" wrapText="1"/>
    </xf>
    <xf numFmtId="0" fontId="0" fillId="18" borderId="10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vertical="top"/>
    </xf>
    <xf numFmtId="0" fontId="3" fillId="2" borderId="15" xfId="0" applyFont="1" applyFill="1" applyBorder="1" applyAlignment="1">
      <alignment vertical="top"/>
    </xf>
    <xf numFmtId="0" fontId="3" fillId="2" borderId="10" xfId="0" applyFont="1" applyFill="1" applyBorder="1" applyAlignment="1">
      <alignment vertical="top"/>
    </xf>
    <xf numFmtId="0" fontId="2" fillId="10" borderId="0" xfId="0" applyFont="1" applyFill="1" applyBorder="1" applyAlignment="1">
      <alignment vertical="top"/>
    </xf>
    <xf numFmtId="0" fontId="3" fillId="2" borderId="10" xfId="0" applyFont="1" applyFill="1" applyBorder="1" applyAlignment="1">
      <alignment horizontal="left" vertical="top" wrapText="1"/>
    </xf>
    <xf numFmtId="0" fontId="2" fillId="2" borderId="10" xfId="0" applyFont="1" applyFill="1" applyBorder="1" applyAlignment="1">
      <alignment horizontal="left" vertical="top" wrapText="1"/>
    </xf>
    <xf numFmtId="0" fontId="0" fillId="6" borderId="10" xfId="0" applyFont="1" applyFill="1" applyBorder="1"/>
    <xf numFmtId="0" fontId="0" fillId="6" borderId="10" xfId="0" applyFont="1" applyFill="1" applyBorder="1" applyAlignment="1">
      <alignment horizontal="center"/>
    </xf>
    <xf numFmtId="49" fontId="0" fillId="6" borderId="10" xfId="0" applyNumberFormat="1" applyFont="1" applyFill="1" applyBorder="1"/>
    <xf numFmtId="0" fontId="0" fillId="7" borderId="10" xfId="0" applyFill="1" applyBorder="1"/>
    <xf numFmtId="49" fontId="0" fillId="7" borderId="10" xfId="0" applyNumberFormat="1" applyFill="1" applyBorder="1"/>
    <xf numFmtId="0" fontId="0" fillId="12" borderId="10" xfId="0" applyFont="1" applyFill="1" applyBorder="1" applyAlignment="1">
      <alignment wrapText="1"/>
    </xf>
    <xf numFmtId="0" fontId="0" fillId="11" borderId="10" xfId="0" applyFont="1" applyFill="1" applyBorder="1" applyAlignment="1">
      <alignment wrapText="1"/>
    </xf>
    <xf numFmtId="0" fontId="3" fillId="2" borderId="0" xfId="0" applyFont="1" applyFill="1" applyBorder="1" applyAlignment="1">
      <alignment wrapText="1"/>
    </xf>
    <xf numFmtId="0" fontId="0" fillId="15" borderId="10" xfId="0" applyFont="1" applyFill="1" applyBorder="1" applyAlignment="1">
      <alignment wrapText="1"/>
    </xf>
    <xf numFmtId="0" fontId="5" fillId="7" borderId="10" xfId="0" applyFont="1" applyFill="1" applyBorder="1" applyAlignment="1">
      <alignment wrapText="1"/>
    </xf>
    <xf numFmtId="0" fontId="0" fillId="6" borderId="10" xfId="0" applyFont="1" applyFill="1" applyBorder="1" applyAlignment="1">
      <alignment vertical="top"/>
    </xf>
    <xf numFmtId="0" fontId="0" fillId="16" borderId="10" xfId="0" applyFill="1" applyBorder="1" applyAlignment="1">
      <alignment vertical="top" wrapText="1"/>
    </xf>
    <xf numFmtId="49" fontId="0" fillId="6" borderId="10" xfId="0" applyNumberFormat="1" applyFont="1" applyFill="1" applyBorder="1" applyAlignment="1">
      <alignment vertical="top"/>
    </xf>
    <xf numFmtId="0" fontId="6" fillId="7" borderId="10" xfId="0" applyFont="1" applyFill="1" applyBorder="1" applyAlignment="1">
      <alignment vertical="top" wrapText="1"/>
    </xf>
    <xf numFmtId="0" fontId="3" fillId="2" borderId="12" xfId="0" applyFont="1" applyFill="1" applyBorder="1" applyAlignment="1">
      <alignment vertical="top"/>
    </xf>
    <xf numFmtId="0" fontId="3" fillId="2" borderId="16" xfId="0" applyFont="1" applyFill="1" applyBorder="1" applyAlignment="1">
      <alignment vertical="top"/>
    </xf>
    <xf numFmtId="0" fontId="3" fillId="2" borderId="13" xfId="0" applyFont="1" applyFill="1" applyBorder="1" applyAlignment="1">
      <alignment vertical="top"/>
    </xf>
    <xf numFmtId="0" fontId="3" fillId="2" borderId="11" xfId="0" applyFont="1" applyFill="1" applyBorder="1" applyAlignment="1">
      <alignment vertical="top"/>
    </xf>
    <xf numFmtId="0" fontId="2" fillId="2" borderId="10" xfId="0" applyFont="1" applyFill="1" applyBorder="1" applyAlignment="1">
      <alignment vertical="top" wrapText="1"/>
    </xf>
    <xf numFmtId="0" fontId="0" fillId="18" borderId="18" xfId="0" applyFont="1" applyFill="1" applyBorder="1" applyAlignment="1">
      <alignment horizontal="left" vertical="top" wrapText="1"/>
    </xf>
    <xf numFmtId="49" fontId="0" fillId="8" borderId="10" xfId="0" applyNumberFormat="1" applyFont="1" applyFill="1" applyBorder="1" applyAlignment="1">
      <alignment vertical="top"/>
    </xf>
    <xf numFmtId="0" fontId="0" fillId="8" borderId="10" xfId="0" applyNumberFormat="1" applyFont="1" applyFill="1" applyBorder="1" applyAlignment="1">
      <alignment horizontal="center" vertical="top"/>
    </xf>
    <xf numFmtId="0" fontId="0" fillId="0" borderId="10" xfId="0" applyNumberFormat="1" applyFont="1" applyFill="1" applyBorder="1" applyAlignment="1">
      <alignment horizontal="center" vertical="center"/>
    </xf>
    <xf numFmtId="49" fontId="0" fillId="6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vertical="top" wrapText="1"/>
    </xf>
    <xf numFmtId="0" fontId="0" fillId="14" borderId="10" xfId="0" applyFont="1" applyFill="1" applyBorder="1" applyAlignment="1">
      <alignment horizontal="center"/>
    </xf>
    <xf numFmtId="22" fontId="0" fillId="0" borderId="0" xfId="0" applyNumberFormat="1"/>
    <xf numFmtId="49" fontId="0" fillId="0" borderId="10" xfId="0" applyNumberFormat="1" applyBorder="1"/>
    <xf numFmtId="49" fontId="0" fillId="0" borderId="10" xfId="0" applyNumberFormat="1" applyBorder="1" applyAlignment="1">
      <alignment horizontal="center"/>
    </xf>
    <xf numFmtId="49" fontId="0" fillId="0" borderId="12" xfId="0" applyNumberFormat="1" applyFont="1" applyFill="1" applyBorder="1" applyAlignment="1">
      <alignment horizontal="center"/>
    </xf>
    <xf numFmtId="0" fontId="0" fillId="6" borderId="2" xfId="0" applyFont="1" applyFill="1" applyBorder="1" applyAlignment="1">
      <alignment vertical="top"/>
    </xf>
    <xf numFmtId="0" fontId="0" fillId="17" borderId="10" xfId="0" applyFill="1" applyBorder="1" applyAlignment="1">
      <alignment vertical="top"/>
    </xf>
    <xf numFmtId="0" fontId="0" fillId="0" borderId="10" xfId="0" applyBorder="1" applyAlignment="1">
      <alignment vertical="top" wrapText="1"/>
    </xf>
    <xf numFmtId="0" fontId="0" fillId="18" borderId="14" xfId="0" applyFont="1" applyFill="1" applyBorder="1" applyAlignment="1">
      <alignment horizontal="center" vertical="top"/>
    </xf>
    <xf numFmtId="0" fontId="0" fillId="18" borderId="12" xfId="0" applyFont="1" applyFill="1" applyBorder="1" applyAlignment="1">
      <alignment horizontal="center" vertical="top"/>
    </xf>
    <xf numFmtId="0" fontId="0" fillId="0" borderId="10" xfId="0" applyFont="1" applyFill="1" applyBorder="1" applyAlignment="1">
      <alignment vertical="top"/>
    </xf>
    <xf numFmtId="49" fontId="0" fillId="0" borderId="10" xfId="0" applyNumberFormat="1" applyFont="1" applyFill="1" applyBorder="1" applyAlignment="1">
      <alignment vertical="top"/>
    </xf>
    <xf numFmtId="0" fontId="0" fillId="0" borderId="10" xfId="0" applyNumberFormat="1" applyFont="1" applyFill="1" applyBorder="1" applyAlignment="1">
      <alignment horizontal="center" vertical="top"/>
    </xf>
    <xf numFmtId="0" fontId="0" fillId="0" borderId="10" xfId="0" applyBorder="1" applyAlignment="1">
      <alignment horizontal="left" vertical="top" wrapText="1"/>
    </xf>
    <xf numFmtId="49" fontId="0" fillId="0" borderId="12" xfId="0" applyNumberFormat="1" applyFont="1" applyFill="1" applyBorder="1" applyAlignment="1">
      <alignment horizontal="center" vertical="top"/>
    </xf>
    <xf numFmtId="0" fontId="7" fillId="4" borderId="10" xfId="0" applyFont="1" applyFill="1" applyBorder="1" applyAlignment="1">
      <alignment horizontal="center"/>
    </xf>
    <xf numFmtId="0" fontId="2" fillId="7" borderId="10" xfId="0" applyFont="1" applyFill="1" applyBorder="1"/>
    <xf numFmtId="0" fontId="2" fillId="0" borderId="10" xfId="0" applyFont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49" fontId="0" fillId="8" borderId="10" xfId="0" applyNumberFormat="1" applyFont="1" applyFill="1" applyBorder="1" applyAlignment="1">
      <alignment horizontal="center" vertical="top"/>
    </xf>
    <xf numFmtId="49" fontId="0" fillId="9" borderId="10" xfId="0" applyNumberFormat="1" applyFont="1" applyFill="1" applyBorder="1" applyAlignment="1">
      <alignment horizontal="center" vertical="top"/>
    </xf>
    <xf numFmtId="49" fontId="0" fillId="0" borderId="10" xfId="0" applyNumberFormat="1" applyFont="1" applyBorder="1" applyAlignment="1">
      <alignment horizontal="center" vertical="top"/>
    </xf>
    <xf numFmtId="49" fontId="0" fillId="0" borderId="10" xfId="0" applyNumberFormat="1" applyFont="1" applyFill="1" applyBorder="1" applyAlignment="1">
      <alignment horizontal="left" vertical="top"/>
    </xf>
    <xf numFmtId="49" fontId="0" fillId="0" borderId="0" xfId="0" applyNumberFormat="1" applyFont="1" applyBorder="1" applyAlignment="1">
      <alignment horizontal="center" vertical="top"/>
    </xf>
    <xf numFmtId="49" fontId="0" fillId="0" borderId="0" xfId="0" applyNumberFormat="1" applyFont="1" applyFill="1" applyBorder="1" applyAlignment="1">
      <alignment horizontal="center" vertical="top"/>
    </xf>
    <xf numFmtId="0" fontId="13" fillId="0" borderId="0" xfId="0" applyFont="1" applyAlignment="1">
      <alignment vertical="center"/>
    </xf>
    <xf numFmtId="49" fontId="0" fillId="0" borderId="5" xfId="0" applyNumberFormat="1" applyFont="1" applyBorder="1"/>
    <xf numFmtId="49" fontId="0" fillId="3" borderId="5" xfId="0" applyNumberFormat="1" applyFont="1" applyFill="1" applyBorder="1"/>
    <xf numFmtId="0" fontId="3" fillId="2" borderId="0" xfId="0" applyFont="1" applyFill="1" applyBorder="1"/>
    <xf numFmtId="164" fontId="0" fillId="3" borderId="6" xfId="0" applyNumberFormat="1" applyFont="1" applyFill="1" applyBorder="1"/>
    <xf numFmtId="164" fontId="0" fillId="0" borderId="6" xfId="0" applyNumberFormat="1" applyFont="1" applyBorder="1"/>
    <xf numFmtId="49" fontId="0" fillId="0" borderId="7" xfId="0" applyNumberFormat="1" applyFont="1" applyBorder="1" applyAlignment="1">
      <alignment horizontal="center"/>
    </xf>
    <xf numFmtId="0" fontId="0" fillId="3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49" fontId="0" fillId="3" borderId="7" xfId="0" applyNumberFormat="1" applyFont="1" applyFill="1" applyBorder="1" applyAlignment="1">
      <alignment horizontal="center"/>
    </xf>
    <xf numFmtId="0" fontId="0" fillId="3" borderId="6" xfId="0" applyFont="1" applyFill="1" applyBorder="1" applyAlignment="1">
      <alignment horizontal="left"/>
    </xf>
    <xf numFmtId="0" fontId="0" fillId="3" borderId="7" xfId="0" applyNumberFormat="1" applyFont="1" applyFill="1" applyBorder="1" applyAlignment="1">
      <alignment horizontal="left"/>
    </xf>
    <xf numFmtId="0" fontId="0" fillId="0" borderId="10" xfId="0" applyBorder="1" applyAlignment="1"/>
  </cellXfs>
  <cellStyles count="2">
    <cellStyle name="Hyperlink" xfId="1" builtinId="8"/>
    <cellStyle name="Normal" xfId="0" builtinId="0"/>
  </cellStyles>
  <dxfs count="2">
    <dxf>
      <font>
        <strike val="0"/>
        <color rgb="FFFF0000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7</xdr:row>
      <xdr:rowOff>83820</xdr:rowOff>
    </xdr:from>
    <xdr:to>
      <xdr:col>7</xdr:col>
      <xdr:colOff>6350</xdr:colOff>
      <xdr:row>9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4CC257CD-CFB5-41EA-BE91-7635B01AD559}"/>
            </a:ext>
          </a:extLst>
        </xdr:cNvPr>
        <xdr:cNvSpPr txBox="1"/>
      </xdr:nvSpPr>
      <xdr:spPr>
        <a:xfrm>
          <a:off x="1923978" y="1533058"/>
          <a:ext cx="3767180" cy="291189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25879</xdr:colOff>
          <xdr:row>6</xdr:row>
          <xdr:rowOff>103517</xdr:rowOff>
        </xdr:from>
        <xdr:to>
          <xdr:col>0</xdr:col>
          <xdr:colOff>897147</xdr:colOff>
          <xdr:row>7</xdr:row>
          <xdr:rowOff>94891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F0739E28-E537-41E4-A510-56204A8C84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8</xdr:row>
      <xdr:rowOff>83820</xdr:rowOff>
    </xdr:from>
    <xdr:to>
      <xdr:col>3</xdr:col>
      <xdr:colOff>6350</xdr:colOff>
      <xdr:row>10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23978" y="2257677"/>
          <a:ext cx="2214425" cy="291189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25879</xdr:colOff>
          <xdr:row>7</xdr:row>
          <xdr:rowOff>103517</xdr:rowOff>
        </xdr:from>
        <xdr:to>
          <xdr:col>0</xdr:col>
          <xdr:colOff>897147</xdr:colOff>
          <xdr:row>8</xdr:row>
          <xdr:rowOff>94891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8</xdr:row>
      <xdr:rowOff>83820</xdr:rowOff>
    </xdr:from>
    <xdr:to>
      <xdr:col>9</xdr:col>
      <xdr:colOff>6350</xdr:colOff>
      <xdr:row>10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56227" y="2257677"/>
          <a:ext cx="2214425" cy="291189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163902</xdr:colOff>
          <xdr:row>6</xdr:row>
          <xdr:rowOff>77638</xdr:rowOff>
        </xdr:from>
        <xdr:to>
          <xdr:col>2</xdr:col>
          <xdr:colOff>1035170</xdr:colOff>
          <xdr:row>7</xdr:row>
          <xdr:rowOff>69011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16</xdr:row>
      <xdr:rowOff>83820</xdr:rowOff>
    </xdr:from>
    <xdr:to>
      <xdr:col>5</xdr:col>
      <xdr:colOff>6350</xdr:colOff>
      <xdr:row>18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56227" y="2257677"/>
          <a:ext cx="2214425" cy="291189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25879</xdr:colOff>
          <xdr:row>14</xdr:row>
          <xdr:rowOff>69011</xdr:rowOff>
        </xdr:from>
        <xdr:to>
          <xdr:col>0</xdr:col>
          <xdr:colOff>897147</xdr:colOff>
          <xdr:row>15</xdr:row>
          <xdr:rowOff>60385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12</xdr:row>
      <xdr:rowOff>83820</xdr:rowOff>
    </xdr:from>
    <xdr:to>
      <xdr:col>3</xdr:col>
      <xdr:colOff>6350</xdr:colOff>
      <xdr:row>14</xdr:row>
      <xdr:rowOff>12700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976630" y="2293620"/>
          <a:ext cx="2934970" cy="29718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25879</xdr:colOff>
          <xdr:row>11</xdr:row>
          <xdr:rowOff>103517</xdr:rowOff>
        </xdr:from>
        <xdr:to>
          <xdr:col>0</xdr:col>
          <xdr:colOff>897147</xdr:colOff>
          <xdr:row>12</xdr:row>
          <xdr:rowOff>94891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301925</xdr:colOff>
          <xdr:row>11</xdr:row>
          <xdr:rowOff>69011</xdr:rowOff>
        </xdr:from>
        <xdr:to>
          <xdr:col>1</xdr:col>
          <xdr:colOff>1431985</xdr:colOff>
          <xdr:row>11</xdr:row>
          <xdr:rowOff>250166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10</xdr:row>
      <xdr:rowOff>83820</xdr:rowOff>
    </xdr:from>
    <xdr:to>
      <xdr:col>5</xdr:col>
      <xdr:colOff>327660</xdr:colOff>
      <xdr:row>12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478280" y="2827020"/>
          <a:ext cx="1897380" cy="31242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120770</xdr:colOff>
          <xdr:row>7</xdr:row>
          <xdr:rowOff>8626</xdr:rowOff>
        </xdr:from>
        <xdr:to>
          <xdr:col>1</xdr:col>
          <xdr:colOff>1250830</xdr:colOff>
          <xdr:row>8</xdr:row>
          <xdr:rowOff>8626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5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259080</xdr:colOff>
      <xdr:row>11</xdr:row>
      <xdr:rowOff>83820</xdr:rowOff>
    </xdr:from>
    <xdr:to>
      <xdr:col>4</xdr:col>
      <xdr:colOff>1695450</xdr:colOff>
      <xdr:row>13</xdr:row>
      <xdr:rowOff>44450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887730" y="2293620"/>
          <a:ext cx="2858770" cy="32893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370936</xdr:colOff>
          <xdr:row>9</xdr:row>
          <xdr:rowOff>25879</xdr:rowOff>
        </xdr:from>
        <xdr:to>
          <xdr:col>1</xdr:col>
          <xdr:colOff>1500996</xdr:colOff>
          <xdr:row>9</xdr:row>
          <xdr:rowOff>207034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6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14</xdr:row>
      <xdr:rowOff>83820</xdr:rowOff>
    </xdr:from>
    <xdr:to>
      <xdr:col>5</xdr:col>
      <xdr:colOff>327660</xdr:colOff>
      <xdr:row>16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887730" y="2293620"/>
          <a:ext cx="409448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345057</xdr:colOff>
          <xdr:row>11</xdr:row>
          <xdr:rowOff>8626</xdr:rowOff>
        </xdr:from>
        <xdr:to>
          <xdr:col>0</xdr:col>
          <xdr:colOff>1242204</xdr:colOff>
          <xdr:row>11</xdr:row>
          <xdr:rowOff>232913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259080</xdr:colOff>
      <xdr:row>13</xdr:row>
      <xdr:rowOff>83820</xdr:rowOff>
    </xdr:from>
    <xdr:to>
      <xdr:col>7</xdr:col>
      <xdr:colOff>327660</xdr:colOff>
      <xdr:row>15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976630" y="2293620"/>
          <a:ext cx="410718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</a:t>
          </a:r>
          <a:r>
            <a:rPr lang="en-IN" sz="1400" baseline="0">
              <a:solidFill>
                <a:schemeClr val="bg1"/>
              </a:solidFill>
            </a:rPr>
            <a:t> Insert Scripts</a:t>
          </a:r>
          <a:endParaRPr lang="en-IN" sz="14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155275</xdr:colOff>
          <xdr:row>10</xdr:row>
          <xdr:rowOff>25879</xdr:rowOff>
        </xdr:from>
        <xdr:to>
          <xdr:col>3</xdr:col>
          <xdr:colOff>1285336</xdr:colOff>
          <xdr:row>10</xdr:row>
          <xdr:rowOff>207034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16</xdr:row>
      <xdr:rowOff>83820</xdr:rowOff>
    </xdr:from>
    <xdr:to>
      <xdr:col>4</xdr:col>
      <xdr:colOff>327660</xdr:colOff>
      <xdr:row>18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976630" y="2293620"/>
          <a:ext cx="410718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2113472</xdr:colOff>
          <xdr:row>0</xdr:row>
          <xdr:rowOff>370936</xdr:rowOff>
        </xdr:from>
        <xdr:to>
          <xdr:col>9</xdr:col>
          <xdr:colOff>2855343</xdr:colOff>
          <xdr:row>0</xdr:row>
          <xdr:rowOff>543464</xdr:rowOff>
        </xdr:to>
        <xdr:sp macro="" textlink="">
          <xdr:nvSpPr>
            <xdr:cNvPr id="6193" name="Button 49" hidden="1">
              <a:extLst>
                <a:ext uri="{63B3BB69-23CF-44E3-9099-C40C66FF867C}">
                  <a14:compatExt spid="_x0000_s6193"/>
                </a:ext>
                <a:ext uri="{FF2B5EF4-FFF2-40B4-BE49-F238E27FC236}">
                  <a16:creationId xmlns:a16="http://schemas.microsoft.com/office/drawing/2014/main" id="{00000000-0008-0000-0900-00003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Revalidate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69011</xdr:colOff>
          <xdr:row>13</xdr:row>
          <xdr:rowOff>155275</xdr:rowOff>
        </xdr:from>
        <xdr:to>
          <xdr:col>0</xdr:col>
          <xdr:colOff>1199072</xdr:colOff>
          <xdr:row>15</xdr:row>
          <xdr:rowOff>0</xdr:rowOff>
        </xdr:to>
        <xdr:sp macro="" textlink="">
          <xdr:nvSpPr>
            <xdr:cNvPr id="6225" name="Button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9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6</xdr:row>
      <xdr:rowOff>83820</xdr:rowOff>
    </xdr:from>
    <xdr:to>
      <xdr:col>2</xdr:col>
      <xdr:colOff>2120900</xdr:colOff>
      <xdr:row>8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976630" y="2293620"/>
          <a:ext cx="276352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690113</xdr:colOff>
          <xdr:row>0</xdr:row>
          <xdr:rowOff>1337094</xdr:rowOff>
        </xdr:from>
        <xdr:to>
          <xdr:col>9</xdr:col>
          <xdr:colOff>1431985</xdr:colOff>
          <xdr:row>0</xdr:row>
          <xdr:rowOff>1475117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A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Revalidate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86264</xdr:colOff>
          <xdr:row>3</xdr:row>
          <xdr:rowOff>388189</xdr:rowOff>
        </xdr:from>
        <xdr:to>
          <xdr:col>0</xdr:col>
          <xdr:colOff>1285336</xdr:colOff>
          <xdr:row>3</xdr:row>
          <xdr:rowOff>612475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A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259080</xdr:colOff>
      <xdr:row>29</xdr:row>
      <xdr:rowOff>83820</xdr:rowOff>
    </xdr:from>
    <xdr:to>
      <xdr:col>3</xdr:col>
      <xdr:colOff>44450</xdr:colOff>
      <xdr:row>31</xdr:row>
      <xdr:rowOff>30480</xdr:rowOff>
    </xdr:to>
    <xdr:sp macro="[0]!GetInsertSQL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976630" y="5424170"/>
          <a:ext cx="3963670" cy="314960"/>
        </a:xfrm>
        <a:prstGeom prst="rect">
          <a:avLst/>
        </a:prstGeom>
        <a:gradFill>
          <a:gsLst>
            <a:gs pos="0">
              <a:schemeClr val="accent1">
                <a:lumMod val="75000"/>
              </a:schemeClr>
            </a:gs>
            <a:gs pos="54000">
              <a:schemeClr val="accent1">
                <a:lumMod val="50000"/>
              </a:schemeClr>
            </a:gs>
            <a:gs pos="100000">
              <a:schemeClr val="accent1">
                <a:lumMod val="60000"/>
                <a:lumOff val="40000"/>
              </a:schemeClr>
            </a:gs>
          </a:gsLst>
          <a:lin ang="5400000" scaled="1"/>
        </a:gra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>
              <a:solidFill>
                <a:schemeClr val="bg1"/>
              </a:solidFill>
            </a:rPr>
            <a:t>Generate Insert Script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69011</xdr:colOff>
          <xdr:row>26</xdr:row>
          <xdr:rowOff>207034</xdr:rowOff>
        </xdr:from>
        <xdr:to>
          <xdr:col>0</xdr:col>
          <xdr:colOff>854015</xdr:colOff>
          <xdr:row>27</xdr:row>
          <xdr:rowOff>181155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4BBF0-0182-4136-8D4D-34115066784B}">
  <sheetPr codeName="Sheet13"/>
  <dimension ref="A1:N13"/>
  <sheetViews>
    <sheetView tabSelected="1" workbookViewId="0">
      <selection activeCell="C12" sqref="C12"/>
    </sheetView>
  </sheetViews>
  <sheetFormatPr defaultRowHeight="14.3" x14ac:dyDescent="0.25"/>
  <cols>
    <col min="1" max="1" width="24.125" customWidth="1"/>
    <col min="2" max="2" width="37.75" customWidth="1"/>
    <col min="3" max="3" width="12.375" customWidth="1"/>
    <col min="4" max="4" width="23.75" customWidth="1"/>
    <col min="5" max="5" width="17.375" customWidth="1"/>
    <col min="6" max="6" width="17.125" customWidth="1"/>
    <col min="7" max="7" width="11.625" customWidth="1"/>
    <col min="8" max="8" width="12.125" customWidth="1"/>
    <col min="9" max="9" width="11.875" customWidth="1"/>
    <col min="10" max="10" width="12.5" customWidth="1"/>
    <col min="11" max="11" width="3.5" customWidth="1"/>
    <col min="21" max="21" width="23.875" bestFit="1" customWidth="1"/>
  </cols>
  <sheetData>
    <row r="1" spans="1:14" x14ac:dyDescent="0.25">
      <c r="A1" s="4" t="s">
        <v>365</v>
      </c>
      <c r="B1" s="5" t="s">
        <v>366</v>
      </c>
      <c r="C1" s="5" t="s">
        <v>367</v>
      </c>
      <c r="D1" s="5" t="s">
        <v>370</v>
      </c>
      <c r="E1" s="5" t="s">
        <v>371</v>
      </c>
      <c r="F1" s="5" t="s">
        <v>372</v>
      </c>
      <c r="G1" s="5" t="s">
        <v>317</v>
      </c>
      <c r="H1" s="5" t="s">
        <v>2</v>
      </c>
      <c r="I1" s="5" t="s">
        <v>3</v>
      </c>
      <c r="J1" s="6" t="s">
        <v>4</v>
      </c>
      <c r="K1" s="26" t="s">
        <v>75</v>
      </c>
    </row>
    <row r="2" spans="1:14" x14ac:dyDescent="0.25">
      <c r="A2" s="135" t="s">
        <v>346</v>
      </c>
      <c r="B2" s="8" t="s">
        <v>378</v>
      </c>
      <c r="C2" s="8"/>
      <c r="D2" s="8"/>
      <c r="E2" s="8"/>
      <c r="F2" s="8"/>
      <c r="G2" s="131">
        <v>1</v>
      </c>
      <c r="H2" s="8" t="s">
        <v>7</v>
      </c>
      <c r="I2" s="9" t="s">
        <v>7</v>
      </c>
      <c r="J2" s="50">
        <v>0</v>
      </c>
      <c r="K2" s="26"/>
      <c r="L2" t="s">
        <v>345</v>
      </c>
    </row>
    <row r="3" spans="1:14" x14ac:dyDescent="0.25">
      <c r="A3" s="125" t="s">
        <v>363</v>
      </c>
      <c r="B3" s="11" t="s">
        <v>379</v>
      </c>
      <c r="C3" s="11" t="s">
        <v>369</v>
      </c>
      <c r="D3" s="11" t="s">
        <v>373</v>
      </c>
      <c r="E3" s="11" t="s">
        <v>374</v>
      </c>
      <c r="F3" s="11" t="s">
        <v>375</v>
      </c>
      <c r="G3" s="132">
        <v>1</v>
      </c>
      <c r="H3" s="8" t="s">
        <v>7</v>
      </c>
      <c r="I3" s="9" t="s">
        <v>7</v>
      </c>
      <c r="J3" s="50">
        <v>0</v>
      </c>
      <c r="N3" s="124"/>
    </row>
    <row r="4" spans="1:14" x14ac:dyDescent="0.25">
      <c r="A4" s="126" t="s">
        <v>364</v>
      </c>
      <c r="B4" s="11" t="s">
        <v>380</v>
      </c>
      <c r="C4" s="8" t="s">
        <v>368</v>
      </c>
      <c r="D4" s="8" t="s">
        <v>376</v>
      </c>
      <c r="E4" s="8" t="s">
        <v>377</v>
      </c>
      <c r="F4" s="8"/>
      <c r="G4" s="131">
        <v>1</v>
      </c>
      <c r="H4" s="8" t="s">
        <v>7</v>
      </c>
      <c r="I4" s="9" t="s">
        <v>7</v>
      </c>
      <c r="J4" s="50">
        <v>0</v>
      </c>
      <c r="K4" s="1"/>
      <c r="L4" s="1"/>
      <c r="N4" s="124"/>
    </row>
    <row r="5" spans="1:14" x14ac:dyDescent="0.25">
      <c r="A5" s="15" t="s">
        <v>75</v>
      </c>
      <c r="B5" s="16"/>
      <c r="C5" s="16"/>
      <c r="D5" s="16"/>
      <c r="E5" s="16"/>
      <c r="F5" s="16"/>
      <c r="G5" s="16"/>
      <c r="H5" s="16"/>
      <c r="I5" s="17"/>
      <c r="J5" s="18"/>
    </row>
    <row r="6" spans="1:14" x14ac:dyDescent="0.25">
      <c r="I6" s="3"/>
      <c r="J6" s="3"/>
    </row>
    <row r="11" spans="1:14" x14ac:dyDescent="0.25">
      <c r="A11" s="14"/>
      <c r="B11" t="s">
        <v>28</v>
      </c>
    </row>
    <row r="12" spans="1:14" x14ac:dyDescent="0.25">
      <c r="A12" s="15"/>
      <c r="B12" t="s">
        <v>106</v>
      </c>
    </row>
    <row r="13" spans="1:14" x14ac:dyDescent="0.25">
      <c r="A13" t="s">
        <v>76</v>
      </c>
      <c r="B13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GenerateID">
                <anchor moveWithCells="1">
                  <from>
                    <xdr:col>0</xdr:col>
                    <xdr:colOff>25879</xdr:colOff>
                    <xdr:row>6</xdr:row>
                    <xdr:rowOff>103517</xdr:rowOff>
                  </from>
                  <to>
                    <xdr:col>0</xdr:col>
                    <xdr:colOff>897147</xdr:colOff>
                    <xdr:row>7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CF1C3-6190-4262-A558-1E23BDF002FF}">
  <sheetPr codeName="Sheet12"/>
  <dimension ref="A1:J14"/>
  <sheetViews>
    <sheetView workbookViewId="0">
      <selection activeCell="A16" sqref="A16"/>
    </sheetView>
  </sheetViews>
  <sheetFormatPr defaultRowHeight="14.3" x14ac:dyDescent="0.25"/>
  <cols>
    <col min="1" max="1" width="24.125" customWidth="1"/>
    <col min="2" max="2" width="37.75" customWidth="1"/>
    <col min="3" max="3" width="20.5" customWidth="1"/>
    <col min="4" max="4" width="12.125" customWidth="1"/>
    <col min="5" max="5" width="13.375" customWidth="1"/>
    <col min="6" max="6" width="12.5" customWidth="1"/>
    <col min="7" max="7" width="3.5" customWidth="1"/>
    <col min="17" max="17" width="23.875" bestFit="1" customWidth="1"/>
  </cols>
  <sheetData>
    <row r="1" spans="1:10" x14ac:dyDescent="0.25">
      <c r="A1" s="4" t="s">
        <v>318</v>
      </c>
      <c r="B1" s="5" t="s">
        <v>330</v>
      </c>
      <c r="C1" s="5" t="s">
        <v>317</v>
      </c>
      <c r="D1" s="5" t="s">
        <v>2</v>
      </c>
      <c r="E1" s="5" t="s">
        <v>3</v>
      </c>
      <c r="F1" s="6" t="s">
        <v>4</v>
      </c>
      <c r="G1" s="26" t="s">
        <v>75</v>
      </c>
    </row>
    <row r="2" spans="1:10" x14ac:dyDescent="0.25">
      <c r="A2" s="135" t="s">
        <v>346</v>
      </c>
      <c r="B2" s="8" t="s">
        <v>347</v>
      </c>
      <c r="C2" s="131">
        <v>1</v>
      </c>
      <c r="D2" s="8" t="s">
        <v>7</v>
      </c>
      <c r="E2" s="9" t="s">
        <v>7</v>
      </c>
      <c r="F2" s="50">
        <v>0</v>
      </c>
      <c r="G2" s="26"/>
      <c r="H2" t="s">
        <v>345</v>
      </c>
    </row>
    <row r="3" spans="1:10" x14ac:dyDescent="0.25">
      <c r="A3" s="125" t="s">
        <v>331</v>
      </c>
      <c r="B3" s="11" t="s">
        <v>336</v>
      </c>
      <c r="C3" s="132">
        <v>1</v>
      </c>
      <c r="D3" s="11" t="s">
        <v>7</v>
      </c>
      <c r="E3" s="12" t="s">
        <v>334</v>
      </c>
      <c r="F3" s="130" t="s">
        <v>335</v>
      </c>
      <c r="J3" s="124"/>
    </row>
    <row r="4" spans="1:10" x14ac:dyDescent="0.25">
      <c r="A4" s="126" t="s">
        <v>332</v>
      </c>
      <c r="B4" s="8" t="s">
        <v>337</v>
      </c>
      <c r="C4" s="131">
        <v>1</v>
      </c>
      <c r="D4" s="8" t="s">
        <v>7</v>
      </c>
      <c r="E4" s="9" t="s">
        <v>7</v>
      </c>
      <c r="F4" s="50">
        <v>0</v>
      </c>
      <c r="G4" s="1"/>
      <c r="H4" s="1"/>
      <c r="J4" s="124"/>
    </row>
    <row r="5" spans="1:10" x14ac:dyDescent="0.25">
      <c r="A5" s="125" t="s">
        <v>333</v>
      </c>
      <c r="B5" s="11" t="s">
        <v>344</v>
      </c>
      <c r="C5" s="132">
        <v>1</v>
      </c>
      <c r="D5" s="11" t="s">
        <v>7</v>
      </c>
      <c r="E5" s="12" t="s">
        <v>334</v>
      </c>
      <c r="F5" s="130" t="s">
        <v>335</v>
      </c>
      <c r="J5" s="124"/>
    </row>
    <row r="6" spans="1:10" x14ac:dyDescent="0.25">
      <c r="A6" s="15" t="s">
        <v>75</v>
      </c>
      <c r="B6" s="16"/>
      <c r="C6" s="16"/>
      <c r="D6" s="16"/>
      <c r="E6" s="17"/>
      <c r="F6" s="18"/>
    </row>
    <row r="7" spans="1:10" x14ac:dyDescent="0.25">
      <c r="E7" s="3"/>
      <c r="F7" s="3"/>
    </row>
    <row r="12" spans="1:10" x14ac:dyDescent="0.25">
      <c r="A12" s="14"/>
      <c r="B12" t="s">
        <v>28</v>
      </c>
    </row>
    <row r="13" spans="1:10" x14ac:dyDescent="0.25">
      <c r="A13" s="15"/>
      <c r="B13" t="s">
        <v>106</v>
      </c>
    </row>
    <row r="14" spans="1:10" x14ac:dyDescent="0.25">
      <c r="A14" t="s">
        <v>76</v>
      </c>
      <c r="B14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enerateID">
                <anchor moveWithCells="1">
                  <from>
                    <xdr:col>0</xdr:col>
                    <xdr:colOff>25879</xdr:colOff>
                    <xdr:row>7</xdr:row>
                    <xdr:rowOff>103517</xdr:rowOff>
                  </from>
                  <to>
                    <xdr:col>0</xdr:col>
                    <xdr:colOff>897147</xdr:colOff>
                    <xdr:row>8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8850E-AD97-4584-9767-ECC7B86FEA68}">
  <sheetPr codeName="Sheet11"/>
  <dimension ref="A1:P14"/>
  <sheetViews>
    <sheetView topLeftCell="C1" workbookViewId="0">
      <selection activeCell="C8" sqref="C8"/>
    </sheetView>
  </sheetViews>
  <sheetFormatPr defaultRowHeight="14.3" x14ac:dyDescent="0.25"/>
  <cols>
    <col min="1" max="2" width="19.25" customWidth="1"/>
    <col min="3" max="3" width="22.875" customWidth="1"/>
    <col min="4" max="4" width="24" customWidth="1"/>
    <col min="5" max="5" width="17" customWidth="1"/>
    <col min="6" max="6" width="15.25" customWidth="1"/>
    <col min="7" max="8" width="24.125" customWidth="1"/>
    <col min="9" max="9" width="15.25" customWidth="1"/>
    <col min="10" max="10" width="12.125" customWidth="1"/>
    <col min="11" max="11" width="13.375" customWidth="1"/>
    <col min="12" max="12" width="12.5" customWidth="1"/>
    <col min="13" max="13" width="3.5" customWidth="1"/>
    <col min="14" max="14" width="12.25" customWidth="1"/>
    <col min="15" max="15" width="24" customWidth="1"/>
    <col min="16" max="16" width="2.625" customWidth="1"/>
    <col min="17" max="17" width="18.25" customWidth="1"/>
    <col min="23" max="23" width="23.875" bestFit="1" customWidth="1"/>
  </cols>
  <sheetData>
    <row r="1" spans="1:16" x14ac:dyDescent="0.25">
      <c r="A1" s="4" t="s">
        <v>309</v>
      </c>
      <c r="B1" s="5" t="s">
        <v>317</v>
      </c>
      <c r="C1" s="5" t="s">
        <v>271</v>
      </c>
      <c r="D1" s="5" t="s">
        <v>314</v>
      </c>
      <c r="E1" s="5" t="s">
        <v>315</v>
      </c>
      <c r="F1" s="5" t="s">
        <v>316</v>
      </c>
      <c r="G1" s="5" t="s">
        <v>318</v>
      </c>
      <c r="H1" s="5" t="s">
        <v>365</v>
      </c>
      <c r="I1" s="5" t="s">
        <v>319</v>
      </c>
      <c r="J1" s="5" t="s">
        <v>2</v>
      </c>
      <c r="K1" s="5" t="s">
        <v>3</v>
      </c>
      <c r="L1" s="6" t="s">
        <v>4</v>
      </c>
      <c r="M1" s="26" t="s">
        <v>75</v>
      </c>
      <c r="N1" s="127" t="s">
        <v>338</v>
      </c>
    </row>
    <row r="2" spans="1:16" x14ac:dyDescent="0.25">
      <c r="A2" s="7" t="s">
        <v>320</v>
      </c>
      <c r="B2" s="131">
        <v>1</v>
      </c>
      <c r="C2" s="9" t="s">
        <v>311</v>
      </c>
      <c r="D2" s="8" t="s">
        <v>325</v>
      </c>
      <c r="E2" s="131">
        <v>3</v>
      </c>
      <c r="F2" s="131" t="s">
        <v>50</v>
      </c>
      <c r="G2" s="134" t="s">
        <v>331</v>
      </c>
      <c r="H2" s="126" t="s">
        <v>364</v>
      </c>
      <c r="I2" s="128">
        <f ca="1">NOW()</f>
        <v>44632.523009722223</v>
      </c>
      <c r="J2" s="8" t="s">
        <v>7</v>
      </c>
      <c r="K2" s="9" t="s">
        <v>7</v>
      </c>
      <c r="L2" s="50">
        <v>0</v>
      </c>
      <c r="N2" t="str">
        <f>A2&amp;B2</f>
        <v>UC0101N0011</v>
      </c>
      <c r="O2" s="3" t="str">
        <f>C2</f>
        <v>2022030710482681143W</v>
      </c>
      <c r="P2" s="124"/>
    </row>
    <row r="3" spans="1:16" x14ac:dyDescent="0.25">
      <c r="A3" s="11" t="s">
        <v>321</v>
      </c>
      <c r="B3" s="132">
        <v>1</v>
      </c>
      <c r="C3" s="12" t="s">
        <v>343</v>
      </c>
      <c r="D3" s="11" t="s">
        <v>324</v>
      </c>
      <c r="E3" s="132">
        <v>0</v>
      </c>
      <c r="F3" s="132" t="s">
        <v>328</v>
      </c>
      <c r="G3" s="125" t="s">
        <v>333</v>
      </c>
      <c r="H3" s="125" t="s">
        <v>363</v>
      </c>
      <c r="I3" s="129">
        <f ca="1">NOW()</f>
        <v>44632.523009722223</v>
      </c>
      <c r="J3" s="8" t="s">
        <v>7</v>
      </c>
      <c r="K3" s="9" t="s">
        <v>7</v>
      </c>
      <c r="L3" s="50">
        <v>0</v>
      </c>
      <c r="N3" t="str">
        <f t="shared" ref="N3:N5" si="0">A3&amp;B3</f>
        <v>UC0101N0021</v>
      </c>
      <c r="O3" s="3" t="str">
        <f t="shared" ref="O3:O5" si="1">C3</f>
        <v>2022030712511430417S</v>
      </c>
      <c r="P3" s="124"/>
    </row>
    <row r="4" spans="1:16" x14ac:dyDescent="0.25">
      <c r="A4" s="7" t="s">
        <v>322</v>
      </c>
      <c r="B4" s="131">
        <v>1</v>
      </c>
      <c r="C4" s="9" t="s">
        <v>312</v>
      </c>
      <c r="D4" s="8" t="s">
        <v>326</v>
      </c>
      <c r="E4" s="131">
        <v>1</v>
      </c>
      <c r="F4" s="131" t="s">
        <v>329</v>
      </c>
      <c r="G4" s="126" t="s">
        <v>332</v>
      </c>
      <c r="H4" s="126" t="s">
        <v>364</v>
      </c>
      <c r="I4" s="128">
        <f ca="1">NOW()</f>
        <v>44632.523009722223</v>
      </c>
      <c r="J4" s="8" t="s">
        <v>7</v>
      </c>
      <c r="K4" s="9" t="s">
        <v>7</v>
      </c>
      <c r="L4" s="50">
        <v>0</v>
      </c>
      <c r="M4" s="1"/>
      <c r="N4" t="str">
        <f t="shared" si="0"/>
        <v>UC0101N0031</v>
      </c>
      <c r="O4" s="3" t="str">
        <f t="shared" si="1"/>
        <v>2022030710482696575A</v>
      </c>
      <c r="P4" s="124"/>
    </row>
    <row r="5" spans="1:16" x14ac:dyDescent="0.25">
      <c r="A5" s="11" t="s">
        <v>323</v>
      </c>
      <c r="B5" s="132">
        <v>1</v>
      </c>
      <c r="C5" s="12" t="s">
        <v>313</v>
      </c>
      <c r="D5" s="11" t="s">
        <v>327</v>
      </c>
      <c r="E5" s="132">
        <v>3</v>
      </c>
      <c r="F5" s="132" t="s">
        <v>50</v>
      </c>
      <c r="G5" s="125" t="s">
        <v>331</v>
      </c>
      <c r="H5" s="12" t="s">
        <v>346</v>
      </c>
      <c r="I5" s="129">
        <f ca="1">NOW()</f>
        <v>44632.523009722223</v>
      </c>
      <c r="J5" s="8" t="s">
        <v>7</v>
      </c>
      <c r="K5" s="9" t="s">
        <v>7</v>
      </c>
      <c r="L5" s="50">
        <v>0</v>
      </c>
      <c r="N5" t="str">
        <f t="shared" si="0"/>
        <v>UC0101N0041</v>
      </c>
      <c r="O5" s="3" t="str">
        <f t="shared" si="1"/>
        <v>2022030710482688430U</v>
      </c>
      <c r="P5" s="124"/>
    </row>
    <row r="6" spans="1:16" x14ac:dyDescent="0.25">
      <c r="A6" s="15" t="s">
        <v>75</v>
      </c>
      <c r="B6" s="16"/>
      <c r="C6" s="16"/>
      <c r="D6" s="16"/>
      <c r="E6" s="16"/>
      <c r="F6" s="16"/>
      <c r="G6" s="16"/>
      <c r="H6" s="16"/>
      <c r="I6" s="16"/>
      <c r="J6" s="16"/>
      <c r="K6" s="17"/>
      <c r="L6" s="18"/>
      <c r="N6" t="s">
        <v>341</v>
      </c>
    </row>
    <row r="7" spans="1:16" x14ac:dyDescent="0.25">
      <c r="K7" s="3"/>
      <c r="L7" s="3"/>
    </row>
    <row r="12" spans="1:16" x14ac:dyDescent="0.25">
      <c r="A12" s="14"/>
      <c r="B12" s="14"/>
      <c r="C12" t="s">
        <v>28</v>
      </c>
    </row>
    <row r="13" spans="1:16" x14ac:dyDescent="0.25">
      <c r="A13" s="15"/>
      <c r="B13" s="64"/>
      <c r="C13" t="s">
        <v>106</v>
      </c>
    </row>
    <row r="14" spans="1:16" x14ac:dyDescent="0.25">
      <c r="A14" t="s">
        <v>76</v>
      </c>
      <c r="C14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GenerateID">
                <anchor moveWithCells="1">
                  <from>
                    <xdr:col>2</xdr:col>
                    <xdr:colOff>163902</xdr:colOff>
                    <xdr:row>6</xdr:row>
                    <xdr:rowOff>77638</xdr:rowOff>
                  </from>
                  <to>
                    <xdr:col>2</xdr:col>
                    <xdr:colOff>1035170</xdr:colOff>
                    <xdr:row>7</xdr:row>
                    <xdr:rowOff>69011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DDAC6-7229-4203-B0FA-151BC48823F9}">
  <sheetPr codeName="Sheet10"/>
  <dimension ref="A1:K27"/>
  <sheetViews>
    <sheetView topLeftCell="A3" workbookViewId="0">
      <selection activeCell="B12" sqref="B12"/>
    </sheetView>
  </sheetViews>
  <sheetFormatPr defaultRowHeight="14.3" x14ac:dyDescent="0.25"/>
  <cols>
    <col min="1" max="1" width="27.625" customWidth="1"/>
    <col min="2" max="2" width="24.25" customWidth="1"/>
    <col min="3" max="5" width="15.25" customWidth="1"/>
    <col min="6" max="6" width="12.125" customWidth="1"/>
    <col min="7" max="7" width="13.375" customWidth="1"/>
    <col min="8" max="8" width="12.5" customWidth="1"/>
    <col min="9" max="9" width="3.5" customWidth="1"/>
    <col min="10" max="10" width="11.75" customWidth="1"/>
    <col min="11" max="11" width="10.75" customWidth="1"/>
    <col min="19" max="19" width="23.875" bestFit="1" customWidth="1"/>
  </cols>
  <sheetData>
    <row r="1" spans="1:11" ht="17" customHeight="1" x14ac:dyDescent="0.25">
      <c r="A1" s="4" t="s">
        <v>270</v>
      </c>
      <c r="B1" s="5" t="s">
        <v>271</v>
      </c>
      <c r="C1" s="5" t="s">
        <v>272</v>
      </c>
      <c r="D1" s="5" t="s">
        <v>273</v>
      </c>
      <c r="E1" s="5" t="s">
        <v>342</v>
      </c>
      <c r="F1" s="5" t="s">
        <v>2</v>
      </c>
      <c r="G1" s="5" t="s">
        <v>3</v>
      </c>
      <c r="H1" s="6" t="s">
        <v>4</v>
      </c>
      <c r="I1" s="26" t="s">
        <v>75</v>
      </c>
      <c r="J1" s="127" t="s">
        <v>309</v>
      </c>
      <c r="K1" s="127" t="s">
        <v>339</v>
      </c>
    </row>
    <row r="2" spans="1:11" x14ac:dyDescent="0.25">
      <c r="A2" s="126" t="s">
        <v>356</v>
      </c>
      <c r="B2" s="11" t="str">
        <f t="shared" ref="B2:B13" si="0">VLOOKUP(J2&amp;K2,noticeTable,2,0)</f>
        <v>2022030710482681143W</v>
      </c>
      <c r="C2" s="126" t="s">
        <v>357</v>
      </c>
      <c r="D2" s="126" t="s">
        <v>284</v>
      </c>
      <c r="E2" s="11" t="s">
        <v>310</v>
      </c>
      <c r="F2" s="11" t="s">
        <v>7</v>
      </c>
      <c r="G2" s="11" t="s">
        <v>7</v>
      </c>
      <c r="H2" s="132">
        <v>0</v>
      </c>
      <c r="I2" s="1"/>
      <c r="J2" t="s">
        <v>320</v>
      </c>
      <c r="K2">
        <v>1</v>
      </c>
    </row>
    <row r="3" spans="1:11" x14ac:dyDescent="0.25">
      <c r="A3" s="125" t="s">
        <v>293</v>
      </c>
      <c r="B3" s="11" t="str">
        <f t="shared" si="0"/>
        <v>2022030710482681143W</v>
      </c>
      <c r="C3" s="11" t="s">
        <v>348</v>
      </c>
      <c r="D3" s="11" t="s">
        <v>274</v>
      </c>
      <c r="E3" s="11" t="s">
        <v>310</v>
      </c>
      <c r="F3" s="11" t="s">
        <v>7</v>
      </c>
      <c r="G3" s="11" t="s">
        <v>7</v>
      </c>
      <c r="H3" s="132">
        <v>0</v>
      </c>
      <c r="J3" t="s">
        <v>320</v>
      </c>
      <c r="K3">
        <v>1</v>
      </c>
    </row>
    <row r="4" spans="1:11" x14ac:dyDescent="0.25">
      <c r="A4" s="126" t="s">
        <v>294</v>
      </c>
      <c r="B4" s="126" t="str">
        <f t="shared" si="0"/>
        <v>2022030710482681143W</v>
      </c>
      <c r="C4" s="126" t="s">
        <v>349</v>
      </c>
      <c r="D4" s="126" t="s">
        <v>299</v>
      </c>
      <c r="E4" s="8" t="s">
        <v>310</v>
      </c>
      <c r="F4" s="8" t="s">
        <v>7</v>
      </c>
      <c r="G4" s="9" t="s">
        <v>7</v>
      </c>
      <c r="H4" s="133" t="s">
        <v>335</v>
      </c>
      <c r="I4" s="1"/>
      <c r="J4" t="s">
        <v>320</v>
      </c>
      <c r="K4">
        <v>1</v>
      </c>
    </row>
    <row r="5" spans="1:11" x14ac:dyDescent="0.25">
      <c r="A5" s="125" t="s">
        <v>288</v>
      </c>
      <c r="B5" s="11" t="str">
        <f t="shared" si="0"/>
        <v>2022030710482681143W</v>
      </c>
      <c r="C5" s="11" t="s">
        <v>350</v>
      </c>
      <c r="D5" s="11" t="s">
        <v>300</v>
      </c>
      <c r="E5" s="11" t="s">
        <v>49</v>
      </c>
      <c r="F5" s="11" t="s">
        <v>7</v>
      </c>
      <c r="G5" s="11" t="s">
        <v>7</v>
      </c>
      <c r="H5" s="132">
        <v>0</v>
      </c>
      <c r="J5" t="s">
        <v>320</v>
      </c>
      <c r="K5">
        <v>1</v>
      </c>
    </row>
    <row r="6" spans="1:11" x14ac:dyDescent="0.25">
      <c r="A6" s="126" t="s">
        <v>289</v>
      </c>
      <c r="B6" s="11" t="str">
        <f t="shared" si="0"/>
        <v>2022030710482681143W</v>
      </c>
      <c r="C6" s="8" t="s">
        <v>351</v>
      </c>
      <c r="D6" s="8" t="s">
        <v>301</v>
      </c>
      <c r="E6" s="8" t="s">
        <v>310</v>
      </c>
      <c r="F6" s="8" t="s">
        <v>7</v>
      </c>
      <c r="G6" s="9" t="s">
        <v>7</v>
      </c>
      <c r="H6" s="133" t="s">
        <v>335</v>
      </c>
      <c r="J6" t="s">
        <v>320</v>
      </c>
      <c r="K6">
        <v>1</v>
      </c>
    </row>
    <row r="7" spans="1:11" x14ac:dyDescent="0.25">
      <c r="A7" s="126" t="s">
        <v>354</v>
      </c>
      <c r="B7" s="11" t="str">
        <f t="shared" si="0"/>
        <v>2022030710482681143W</v>
      </c>
      <c r="C7" s="8" t="s">
        <v>355</v>
      </c>
      <c r="D7" s="8" t="s">
        <v>358</v>
      </c>
      <c r="E7" s="8" t="s">
        <v>310</v>
      </c>
      <c r="F7" s="8" t="s">
        <v>7</v>
      </c>
      <c r="G7" s="9" t="s">
        <v>7</v>
      </c>
      <c r="H7" s="133" t="s">
        <v>335</v>
      </c>
      <c r="J7" t="s">
        <v>320</v>
      </c>
      <c r="K7">
        <v>1</v>
      </c>
    </row>
    <row r="8" spans="1:11" x14ac:dyDescent="0.25">
      <c r="A8" s="125" t="s">
        <v>290</v>
      </c>
      <c r="B8" s="11" t="str">
        <f t="shared" si="0"/>
        <v>2022030712511430417S</v>
      </c>
      <c r="C8" s="11" t="s">
        <v>352</v>
      </c>
      <c r="D8" s="11" t="s">
        <v>6</v>
      </c>
      <c r="E8" s="11" t="s">
        <v>310</v>
      </c>
      <c r="F8" s="11" t="s">
        <v>7</v>
      </c>
      <c r="G8" s="11" t="s">
        <v>7</v>
      </c>
      <c r="H8" s="132">
        <v>0</v>
      </c>
      <c r="J8" t="s">
        <v>321</v>
      </c>
      <c r="K8">
        <v>1</v>
      </c>
    </row>
    <row r="9" spans="1:11" x14ac:dyDescent="0.25">
      <c r="A9" s="126" t="s">
        <v>291</v>
      </c>
      <c r="B9" s="11" t="str">
        <f t="shared" si="0"/>
        <v>2022030712511430417S</v>
      </c>
      <c r="C9" s="8" t="s">
        <v>353</v>
      </c>
      <c r="D9" s="8" t="s">
        <v>358</v>
      </c>
      <c r="E9" s="8" t="s">
        <v>49</v>
      </c>
      <c r="F9" s="8" t="s">
        <v>7</v>
      </c>
      <c r="G9" s="9" t="s">
        <v>7</v>
      </c>
      <c r="H9" s="133" t="s">
        <v>335</v>
      </c>
      <c r="J9" t="s">
        <v>321</v>
      </c>
      <c r="K9">
        <v>1</v>
      </c>
    </row>
    <row r="10" spans="1:11" x14ac:dyDescent="0.25">
      <c r="A10" s="125" t="s">
        <v>292</v>
      </c>
      <c r="B10" s="11" t="str">
        <f t="shared" si="0"/>
        <v>2022030710482696575A</v>
      </c>
      <c r="C10" s="8" t="s">
        <v>359</v>
      </c>
      <c r="D10" s="11" t="s">
        <v>302</v>
      </c>
      <c r="E10" s="11" t="s">
        <v>310</v>
      </c>
      <c r="F10" s="11" t="s">
        <v>7</v>
      </c>
      <c r="G10" s="11" t="s">
        <v>7</v>
      </c>
      <c r="H10" s="132">
        <v>0</v>
      </c>
      <c r="J10" t="s">
        <v>322</v>
      </c>
      <c r="K10">
        <v>1</v>
      </c>
    </row>
    <row r="11" spans="1:11" x14ac:dyDescent="0.25">
      <c r="A11" s="8" t="s">
        <v>306</v>
      </c>
      <c r="B11" s="11" t="str">
        <f t="shared" si="0"/>
        <v>2022030710482696575A</v>
      </c>
      <c r="C11" s="8" t="s">
        <v>360</v>
      </c>
      <c r="D11" s="8" t="s">
        <v>303</v>
      </c>
      <c r="E11" s="8" t="s">
        <v>310</v>
      </c>
      <c r="F11" s="8" t="s">
        <v>7</v>
      </c>
      <c r="G11" s="9" t="s">
        <v>7</v>
      </c>
      <c r="H11" s="133" t="s">
        <v>335</v>
      </c>
      <c r="J11" t="s">
        <v>322</v>
      </c>
      <c r="K11">
        <v>1</v>
      </c>
    </row>
    <row r="12" spans="1:11" x14ac:dyDescent="0.25">
      <c r="A12" s="125" t="s">
        <v>307</v>
      </c>
      <c r="B12" s="11" t="str">
        <f t="shared" si="0"/>
        <v>2022030710482696575A</v>
      </c>
      <c r="C12" s="11" t="s">
        <v>361</v>
      </c>
      <c r="D12" s="11" t="s">
        <v>304</v>
      </c>
      <c r="E12" s="11" t="s">
        <v>310</v>
      </c>
      <c r="F12" s="11" t="s">
        <v>7</v>
      </c>
      <c r="G12" s="11" t="s">
        <v>7</v>
      </c>
      <c r="H12" s="132">
        <v>0</v>
      </c>
      <c r="J12" t="s">
        <v>322</v>
      </c>
      <c r="K12">
        <v>1</v>
      </c>
    </row>
    <row r="13" spans="1:11" x14ac:dyDescent="0.25">
      <c r="A13" s="8" t="s">
        <v>308</v>
      </c>
      <c r="B13" s="11" t="str">
        <f t="shared" si="0"/>
        <v>2022030710482696575A</v>
      </c>
      <c r="C13" s="8" t="s">
        <v>362</v>
      </c>
      <c r="D13" s="8" t="s">
        <v>305</v>
      </c>
      <c r="E13" s="8" t="s">
        <v>310</v>
      </c>
      <c r="F13" s="8" t="s">
        <v>7</v>
      </c>
      <c r="G13" s="9" t="s">
        <v>7</v>
      </c>
      <c r="H13" s="133" t="s">
        <v>335</v>
      </c>
      <c r="J13" t="s">
        <v>322</v>
      </c>
      <c r="K13">
        <v>1</v>
      </c>
    </row>
    <row r="14" spans="1:11" x14ac:dyDescent="0.25">
      <c r="A14" s="15" t="s">
        <v>75</v>
      </c>
      <c r="B14" s="16"/>
      <c r="C14" s="16"/>
      <c r="D14" s="16"/>
      <c r="E14" s="16"/>
      <c r="F14" s="16"/>
      <c r="G14" s="17"/>
      <c r="H14" s="18"/>
      <c r="J14" t="s">
        <v>340</v>
      </c>
    </row>
    <row r="15" spans="1:11" x14ac:dyDescent="0.25">
      <c r="G15" s="3"/>
      <c r="H15" s="3"/>
    </row>
    <row r="20" spans="1:8" x14ac:dyDescent="0.25">
      <c r="A20" s="14"/>
      <c r="B20" t="s">
        <v>28</v>
      </c>
      <c r="E20" t="s">
        <v>275</v>
      </c>
      <c r="G20" t="s">
        <v>276</v>
      </c>
    </row>
    <row r="21" spans="1:8" x14ac:dyDescent="0.25">
      <c r="A21" s="15"/>
      <c r="B21" t="s">
        <v>106</v>
      </c>
      <c r="E21" t="s">
        <v>6</v>
      </c>
      <c r="F21" t="s">
        <v>278</v>
      </c>
      <c r="G21" t="s">
        <v>48</v>
      </c>
      <c r="H21" t="s">
        <v>280</v>
      </c>
    </row>
    <row r="22" spans="1:8" x14ac:dyDescent="0.25">
      <c r="A22" t="s">
        <v>76</v>
      </c>
      <c r="B22" t="s">
        <v>107</v>
      </c>
      <c r="E22" s="1" t="s">
        <v>277</v>
      </c>
      <c r="F22" t="s">
        <v>298</v>
      </c>
      <c r="G22" t="s">
        <v>49</v>
      </c>
      <c r="H22" t="s">
        <v>281</v>
      </c>
    </row>
    <row r="23" spans="1:8" x14ac:dyDescent="0.25">
      <c r="E23" t="s">
        <v>9</v>
      </c>
      <c r="G23" t="s">
        <v>124</v>
      </c>
      <c r="H23" t="s">
        <v>282</v>
      </c>
    </row>
    <row r="24" spans="1:8" x14ac:dyDescent="0.25">
      <c r="G24" t="s">
        <v>279</v>
      </c>
      <c r="H24" t="s">
        <v>283</v>
      </c>
    </row>
    <row r="26" spans="1:8" x14ac:dyDescent="0.25">
      <c r="E26" t="s">
        <v>284</v>
      </c>
      <c r="F26" t="s">
        <v>285</v>
      </c>
    </row>
    <row r="27" spans="1:8" x14ac:dyDescent="0.25">
      <c r="E27" t="s">
        <v>286</v>
      </c>
      <c r="F27" t="s">
        <v>287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GenerateID">
                <anchor moveWithCells="1">
                  <from>
                    <xdr:col>0</xdr:col>
                    <xdr:colOff>25879</xdr:colOff>
                    <xdr:row>14</xdr:row>
                    <xdr:rowOff>69011</xdr:rowOff>
                  </from>
                  <to>
                    <xdr:col>0</xdr:col>
                    <xdr:colOff>897147</xdr:colOff>
                    <xdr:row>15</xdr:row>
                    <xdr:rowOff>60385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CDE2B-DE75-442E-B4B2-2C3BD866225F}">
  <sheetPr codeName="Sheet3"/>
  <dimension ref="A1:J18"/>
  <sheetViews>
    <sheetView workbookViewId="0">
      <selection activeCell="A3" sqref="A3:A9"/>
    </sheetView>
  </sheetViews>
  <sheetFormatPr defaultRowHeight="14.3" x14ac:dyDescent="0.25"/>
  <cols>
    <col min="1" max="1" width="24.125" customWidth="1"/>
    <col min="2" max="2" width="20.5" customWidth="1"/>
    <col min="3" max="3" width="15.25" customWidth="1"/>
    <col min="4" max="4" width="12.125" customWidth="1"/>
    <col min="5" max="5" width="13.375" customWidth="1"/>
    <col min="6" max="6" width="12.5" customWidth="1"/>
    <col min="7" max="7" width="3.5" customWidth="1"/>
    <col min="17" max="17" width="23.875" bestFit="1" customWidth="1"/>
  </cols>
  <sheetData>
    <row r="1" spans="1:10" x14ac:dyDescent="0.25">
      <c r="A1" s="4" t="s">
        <v>270</v>
      </c>
      <c r="B1" s="5" t="s">
        <v>271</v>
      </c>
      <c r="C1" s="5" t="s">
        <v>8</v>
      </c>
      <c r="D1" s="5" t="s">
        <v>2</v>
      </c>
      <c r="E1" s="5" t="s">
        <v>3</v>
      </c>
      <c r="F1" s="6" t="s">
        <v>4</v>
      </c>
      <c r="G1" s="26" t="s">
        <v>75</v>
      </c>
    </row>
    <row r="2" spans="1:10" x14ac:dyDescent="0.25">
      <c r="A2" s="7" t="s">
        <v>9</v>
      </c>
      <c r="B2" s="8"/>
      <c r="C2" s="8"/>
      <c r="D2" s="8" t="s">
        <v>7</v>
      </c>
      <c r="E2" s="9" t="s">
        <v>7</v>
      </c>
      <c r="F2" s="50">
        <v>0</v>
      </c>
      <c r="J2" s="124"/>
    </row>
    <row r="3" spans="1:10" x14ac:dyDescent="0.25">
      <c r="A3" s="125"/>
      <c r="B3" s="11"/>
      <c r="C3" s="11"/>
      <c r="D3" s="11"/>
      <c r="E3" s="12"/>
      <c r="F3" s="13"/>
      <c r="J3" s="124"/>
    </row>
    <row r="4" spans="1:10" x14ac:dyDescent="0.25">
      <c r="A4" s="126"/>
      <c r="B4" s="8"/>
      <c r="C4" s="8"/>
      <c r="D4" s="8"/>
      <c r="E4" s="9"/>
      <c r="F4" s="10"/>
      <c r="G4" s="1"/>
      <c r="H4" s="1"/>
      <c r="J4" s="124"/>
    </row>
    <row r="5" spans="1:10" x14ac:dyDescent="0.25">
      <c r="A5" s="125"/>
      <c r="B5" s="11"/>
      <c r="C5" s="11"/>
      <c r="D5" s="11"/>
      <c r="E5" s="12"/>
      <c r="F5" s="13"/>
      <c r="J5" s="124"/>
    </row>
    <row r="6" spans="1:10" x14ac:dyDescent="0.25">
      <c r="A6" s="126"/>
      <c r="B6" s="8"/>
      <c r="C6" s="8"/>
      <c r="D6" s="8"/>
      <c r="E6" s="9"/>
      <c r="F6" s="10"/>
      <c r="J6" s="124"/>
    </row>
    <row r="7" spans="1:10" x14ac:dyDescent="0.25">
      <c r="A7" s="125"/>
      <c r="B7" s="11"/>
      <c r="C7" s="11"/>
      <c r="D7" s="11"/>
      <c r="E7" s="12"/>
      <c r="F7" s="13"/>
    </row>
    <row r="8" spans="1:10" x14ac:dyDescent="0.25">
      <c r="A8" s="126"/>
      <c r="B8" s="8"/>
      <c r="C8" s="8"/>
      <c r="D8" s="8"/>
      <c r="E8" s="9"/>
      <c r="F8" s="10"/>
    </row>
    <row r="9" spans="1:10" x14ac:dyDescent="0.25">
      <c r="A9" s="125"/>
      <c r="B9" s="11"/>
      <c r="C9" s="11"/>
      <c r="D9" s="11"/>
      <c r="E9" s="12"/>
      <c r="F9" s="13"/>
    </row>
    <row r="10" spans="1:10" x14ac:dyDescent="0.25">
      <c r="A10" s="15" t="s">
        <v>75</v>
      </c>
      <c r="B10" s="16"/>
      <c r="C10" s="16"/>
      <c r="D10" s="16"/>
      <c r="E10" s="17"/>
      <c r="F10" s="18"/>
    </row>
    <row r="11" spans="1:10" x14ac:dyDescent="0.25">
      <c r="E11" s="3"/>
      <c r="F11" s="3"/>
    </row>
    <row r="16" spans="1:10" x14ac:dyDescent="0.25">
      <c r="A16" s="14"/>
      <c r="B16" t="s">
        <v>28</v>
      </c>
    </row>
    <row r="17" spans="1:2" x14ac:dyDescent="0.25">
      <c r="A17" s="15"/>
      <c r="B17" t="s">
        <v>106</v>
      </c>
    </row>
    <row r="18" spans="1:2" x14ac:dyDescent="0.25">
      <c r="A18" t="s">
        <v>76</v>
      </c>
      <c r="B18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ID">
                <anchor moveWithCells="1">
                  <from>
                    <xdr:col>0</xdr:col>
                    <xdr:colOff>25879</xdr:colOff>
                    <xdr:row>11</xdr:row>
                    <xdr:rowOff>103517</xdr:rowOff>
                  </from>
                  <to>
                    <xdr:col>0</xdr:col>
                    <xdr:colOff>897147</xdr:colOff>
                    <xdr:row>12</xdr:row>
                    <xdr:rowOff>94891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02288-68C6-49B9-BCC0-D4E519BC43D2}">
  <sheetPr codeName="Sheet9"/>
  <dimension ref="A1:B12"/>
  <sheetViews>
    <sheetView workbookViewId="0">
      <selection activeCell="F12" sqref="F12"/>
    </sheetView>
  </sheetViews>
  <sheetFormatPr defaultRowHeight="14.3" x14ac:dyDescent="0.25"/>
  <cols>
    <col min="2" max="2" width="31.75" customWidth="1"/>
  </cols>
  <sheetData>
    <row r="1" spans="1:2" x14ac:dyDescent="0.25">
      <c r="A1" s="117" t="s">
        <v>195</v>
      </c>
      <c r="B1" s="115" t="s">
        <v>194</v>
      </c>
    </row>
    <row r="2" spans="1:2" x14ac:dyDescent="0.25">
      <c r="A2" s="116">
        <v>1</v>
      </c>
      <c r="B2" s="101" t="s">
        <v>295</v>
      </c>
    </row>
    <row r="3" spans="1:2" x14ac:dyDescent="0.25">
      <c r="A3" s="116">
        <f>1+A2</f>
        <v>2</v>
      </c>
      <c r="B3" s="101" t="s">
        <v>296</v>
      </c>
    </row>
    <row r="4" spans="1:2" x14ac:dyDescent="0.25">
      <c r="A4" s="116">
        <f>1+A3</f>
        <v>3</v>
      </c>
      <c r="B4" s="101" t="s">
        <v>297</v>
      </c>
    </row>
    <row r="5" spans="1:2" x14ac:dyDescent="0.25">
      <c r="A5" s="116">
        <f t="shared" ref="A5:A8" si="0">1+A4</f>
        <v>4</v>
      </c>
      <c r="B5" s="101" t="s">
        <v>246</v>
      </c>
    </row>
    <row r="6" spans="1:2" x14ac:dyDescent="0.25">
      <c r="A6" s="116">
        <f t="shared" si="0"/>
        <v>5</v>
      </c>
      <c r="B6" s="101" t="s">
        <v>247</v>
      </c>
    </row>
    <row r="7" spans="1:2" x14ac:dyDescent="0.25">
      <c r="A7" s="116">
        <f t="shared" si="0"/>
        <v>6</v>
      </c>
      <c r="B7" s="101" t="s">
        <v>248</v>
      </c>
    </row>
    <row r="8" spans="1:2" x14ac:dyDescent="0.25">
      <c r="A8" s="116">
        <f t="shared" si="0"/>
        <v>7</v>
      </c>
      <c r="B8" s="101" t="s">
        <v>249</v>
      </c>
    </row>
    <row r="9" spans="1:2" x14ac:dyDescent="0.25">
      <c r="A9" s="116">
        <v>8</v>
      </c>
      <c r="B9" s="101" t="s">
        <v>250</v>
      </c>
    </row>
    <row r="10" spans="1:2" x14ac:dyDescent="0.25">
      <c r="A10" s="116">
        <v>9</v>
      </c>
      <c r="B10" s="101" t="s">
        <v>251</v>
      </c>
    </row>
    <row r="11" spans="1:2" x14ac:dyDescent="0.25">
      <c r="A11" s="116">
        <v>10</v>
      </c>
      <c r="B11" s="101" t="s">
        <v>252</v>
      </c>
    </row>
    <row r="12" spans="1:2" ht="25" customHeight="1" x14ac:dyDescent="0.25">
      <c r="B12" s="19" t="s">
        <v>75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GenerateID">
                <anchor moveWithCells="1">
                  <from>
                    <xdr:col>1</xdr:col>
                    <xdr:colOff>301925</xdr:colOff>
                    <xdr:row>11</xdr:row>
                    <xdr:rowOff>69011</xdr:rowOff>
                  </from>
                  <to>
                    <xdr:col>1</xdr:col>
                    <xdr:colOff>1431985</xdr:colOff>
                    <xdr:row>11</xdr:row>
                    <xdr:rowOff>250166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2F523-D7BF-4175-823B-99CEA93152D1}">
  <sheetPr codeName="Sheet1"/>
  <dimension ref="A1:G16"/>
  <sheetViews>
    <sheetView workbookViewId="0">
      <selection activeCell="B2" sqref="B2"/>
    </sheetView>
  </sheetViews>
  <sheetFormatPr defaultRowHeight="14.3" x14ac:dyDescent="0.25"/>
  <cols>
    <col min="1" max="1" width="32" customWidth="1"/>
    <col min="2" max="2" width="23.625" customWidth="1"/>
    <col min="3" max="3" width="12.125" customWidth="1"/>
    <col min="4" max="4" width="11" customWidth="1"/>
    <col min="5" max="5" width="12" customWidth="1"/>
    <col min="6" max="6" width="13.375" customWidth="1"/>
    <col min="7" max="7" width="3.25" customWidth="1"/>
    <col min="15" max="15" width="23.875" bestFit="1" customWidth="1"/>
  </cols>
  <sheetData>
    <row r="1" spans="1:7" x14ac:dyDescent="0.25">
      <c r="A1" s="5" t="s">
        <v>1</v>
      </c>
      <c r="B1" s="4" t="s">
        <v>0</v>
      </c>
      <c r="C1" s="5" t="s">
        <v>16</v>
      </c>
      <c r="D1" s="5" t="s">
        <v>2</v>
      </c>
      <c r="E1" s="5" t="s">
        <v>3</v>
      </c>
      <c r="F1" s="6" t="s">
        <v>4</v>
      </c>
      <c r="G1" s="26" t="s">
        <v>75</v>
      </c>
    </row>
    <row r="2" spans="1:7" x14ac:dyDescent="0.25">
      <c r="A2" s="33" t="s">
        <v>5</v>
      </c>
      <c r="B2" s="33" t="s">
        <v>227</v>
      </c>
      <c r="C2" s="34" t="s">
        <v>6</v>
      </c>
      <c r="D2" s="33" t="s">
        <v>7</v>
      </c>
      <c r="E2" s="35" t="s">
        <v>7</v>
      </c>
      <c r="F2" s="51">
        <v>0</v>
      </c>
      <c r="G2" t="s">
        <v>77</v>
      </c>
    </row>
    <row r="3" spans="1:7" x14ac:dyDescent="0.25">
      <c r="A3" s="29" t="s">
        <v>94</v>
      </c>
      <c r="B3" s="101" t="s">
        <v>222</v>
      </c>
      <c r="C3" s="30" t="s">
        <v>6</v>
      </c>
      <c r="D3" s="29" t="s">
        <v>7</v>
      </c>
      <c r="E3" s="31" t="s">
        <v>7</v>
      </c>
      <c r="F3" s="49">
        <v>0</v>
      </c>
    </row>
    <row r="4" spans="1:7" x14ac:dyDescent="0.25">
      <c r="A4" s="29" t="s">
        <v>95</v>
      </c>
      <c r="B4" s="101" t="s">
        <v>223</v>
      </c>
      <c r="C4" s="30" t="s">
        <v>6</v>
      </c>
      <c r="D4" s="29" t="s">
        <v>7</v>
      </c>
      <c r="E4" s="31" t="s">
        <v>7</v>
      </c>
      <c r="F4" s="49">
        <v>0</v>
      </c>
    </row>
    <row r="5" spans="1:7" x14ac:dyDescent="0.25">
      <c r="A5" s="29" t="s">
        <v>96</v>
      </c>
      <c r="B5" s="101" t="s">
        <v>224</v>
      </c>
      <c r="C5" s="30" t="s">
        <v>6</v>
      </c>
      <c r="D5" s="29" t="s">
        <v>7</v>
      </c>
      <c r="E5" s="31" t="s">
        <v>7</v>
      </c>
      <c r="F5" s="49">
        <v>0</v>
      </c>
    </row>
    <row r="6" spans="1:7" x14ac:dyDescent="0.25">
      <c r="A6" s="29" t="s">
        <v>97</v>
      </c>
      <c r="B6" s="101" t="s">
        <v>225</v>
      </c>
      <c r="C6" s="30" t="s">
        <v>6</v>
      </c>
      <c r="D6" s="29" t="s">
        <v>7</v>
      </c>
      <c r="E6" s="31" t="s">
        <v>7</v>
      </c>
      <c r="F6" s="49">
        <v>0</v>
      </c>
    </row>
    <row r="7" spans="1:7" x14ac:dyDescent="0.25">
      <c r="A7" s="29" t="s">
        <v>98</v>
      </c>
      <c r="B7" s="101" t="s">
        <v>226</v>
      </c>
      <c r="C7" s="30" t="s">
        <v>6</v>
      </c>
      <c r="D7" s="29" t="s">
        <v>7</v>
      </c>
      <c r="E7" s="31" t="s">
        <v>7</v>
      </c>
      <c r="F7" s="49">
        <v>0</v>
      </c>
    </row>
    <row r="8" spans="1:7" x14ac:dyDescent="0.25">
      <c r="A8" s="74" t="s">
        <v>75</v>
      </c>
      <c r="B8" s="75"/>
      <c r="C8" s="74" t="s">
        <v>176</v>
      </c>
      <c r="D8" s="74"/>
      <c r="E8" s="74"/>
      <c r="F8" s="76"/>
    </row>
    <row r="9" spans="1:7" x14ac:dyDescent="0.25">
      <c r="F9" s="3"/>
    </row>
    <row r="14" spans="1:7" x14ac:dyDescent="0.25">
      <c r="A14" s="14"/>
      <c r="B14" t="s">
        <v>28</v>
      </c>
    </row>
    <row r="15" spans="1:7" x14ac:dyDescent="0.25">
      <c r="A15" s="15"/>
      <c r="B15" t="s">
        <v>106</v>
      </c>
    </row>
    <row r="16" spans="1:7" x14ac:dyDescent="0.25">
      <c r="A16" t="s">
        <v>76</v>
      </c>
      <c r="B16" t="s">
        <v>107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5" r:id="rId4" name="Button 17">
              <controlPr defaultSize="0" print="0" autoFill="0" autoPict="0" macro="[0]!GenerateID">
                <anchor moveWithCells="1">
                  <from>
                    <xdr:col>1</xdr:col>
                    <xdr:colOff>120770</xdr:colOff>
                    <xdr:row>7</xdr:row>
                    <xdr:rowOff>8626</xdr:rowOff>
                  </from>
                  <to>
                    <xdr:col>1</xdr:col>
                    <xdr:colOff>1250830</xdr:colOff>
                    <xdr:row>8</xdr:row>
                    <xdr:rowOff>8626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CEB1A-8F7C-4288-8F8A-D856E788F1C0}">
  <sheetPr codeName="Sheet2"/>
  <dimension ref="A1:L20"/>
  <sheetViews>
    <sheetView workbookViewId="0">
      <selection activeCell="B6" sqref="B6"/>
    </sheetView>
  </sheetViews>
  <sheetFormatPr defaultRowHeight="14.3" x14ac:dyDescent="0.25"/>
  <cols>
    <col min="1" max="1" width="9" customWidth="1"/>
    <col min="2" max="2" width="26.5" customWidth="1"/>
    <col min="3" max="3" width="61.25" bestFit="1" customWidth="1"/>
    <col min="4" max="4" width="21.5" customWidth="1"/>
    <col min="5" max="5" width="10.25" customWidth="1"/>
    <col min="6" max="6" width="17.625" customWidth="1"/>
    <col min="7" max="7" width="14.625" customWidth="1"/>
    <col min="8" max="8" width="14.5" customWidth="1"/>
    <col min="9" max="9" width="13" customWidth="1"/>
    <col min="10" max="10" width="15.75" customWidth="1"/>
    <col min="11" max="11" width="13.125" customWidth="1"/>
    <col min="12" max="12" width="4.5" customWidth="1"/>
    <col min="13" max="13" width="11.5" customWidth="1"/>
    <col min="17" max="17" width="23.875" bestFit="1" customWidth="1"/>
  </cols>
  <sheetData>
    <row r="1" spans="1:12" x14ac:dyDescent="0.25">
      <c r="A1" s="28" t="s">
        <v>11</v>
      </c>
      <c r="B1" s="28" t="s">
        <v>10</v>
      </c>
      <c r="C1" s="28" t="s">
        <v>12</v>
      </c>
      <c r="D1" s="28" t="s">
        <v>15</v>
      </c>
      <c r="E1" s="28" t="s">
        <v>16</v>
      </c>
      <c r="F1" s="28" t="s">
        <v>17</v>
      </c>
      <c r="G1" s="28" t="s">
        <v>18</v>
      </c>
      <c r="H1" s="28" t="s">
        <v>99</v>
      </c>
      <c r="I1" s="28" t="s">
        <v>2</v>
      </c>
      <c r="J1" s="28" t="s">
        <v>3</v>
      </c>
      <c r="K1" s="28" t="s">
        <v>4</v>
      </c>
      <c r="L1" s="26" t="s">
        <v>75</v>
      </c>
    </row>
    <row r="2" spans="1:12" x14ac:dyDescent="0.25">
      <c r="A2" s="29" t="s">
        <v>174</v>
      </c>
      <c r="B2" s="102" t="s">
        <v>228</v>
      </c>
      <c r="C2" s="29" t="s">
        <v>80</v>
      </c>
      <c r="D2" s="29" t="s">
        <v>175</v>
      </c>
      <c r="E2" s="32" t="s">
        <v>6</v>
      </c>
      <c r="F2" s="31"/>
      <c r="G2" s="31"/>
      <c r="H2" s="49">
        <v>0</v>
      </c>
      <c r="I2" s="31" t="s">
        <v>7</v>
      </c>
      <c r="J2" s="31" t="s">
        <v>7</v>
      </c>
      <c r="K2" s="49">
        <v>0</v>
      </c>
    </row>
    <row r="3" spans="1:12" x14ac:dyDescent="0.25">
      <c r="A3" s="29" t="s">
        <v>79</v>
      </c>
      <c r="B3" s="32" t="s">
        <v>229</v>
      </c>
      <c r="C3" s="29" t="s">
        <v>80</v>
      </c>
      <c r="D3" s="29" t="s">
        <v>81</v>
      </c>
      <c r="E3" s="32" t="s">
        <v>6</v>
      </c>
      <c r="F3" s="31"/>
      <c r="G3" s="31"/>
      <c r="H3" s="49">
        <v>0</v>
      </c>
      <c r="I3" s="31" t="s">
        <v>7</v>
      </c>
      <c r="J3" s="31" t="s">
        <v>7</v>
      </c>
      <c r="K3" s="49">
        <v>0</v>
      </c>
    </row>
    <row r="4" spans="1:12" x14ac:dyDescent="0.25">
      <c r="A4" s="29" t="s">
        <v>82</v>
      </c>
      <c r="B4" s="32" t="s">
        <v>230</v>
      </c>
      <c r="C4" s="29" t="s">
        <v>80</v>
      </c>
      <c r="D4" s="29" t="s">
        <v>83</v>
      </c>
      <c r="E4" s="32" t="s">
        <v>6</v>
      </c>
      <c r="F4" s="31"/>
      <c r="G4" s="31"/>
      <c r="H4" s="49">
        <v>0</v>
      </c>
      <c r="I4" s="31" t="s">
        <v>7</v>
      </c>
      <c r="J4" s="31" t="s">
        <v>7</v>
      </c>
      <c r="K4" s="49">
        <v>0</v>
      </c>
    </row>
    <row r="5" spans="1:12" x14ac:dyDescent="0.25">
      <c r="A5" s="29" t="s">
        <v>84</v>
      </c>
      <c r="B5" s="32" t="s">
        <v>231</v>
      </c>
      <c r="C5" s="29" t="s">
        <v>80</v>
      </c>
      <c r="D5" s="29" t="s">
        <v>85</v>
      </c>
      <c r="E5" s="32" t="s">
        <v>6</v>
      </c>
      <c r="F5" s="31"/>
      <c r="G5" s="31"/>
      <c r="H5" s="49">
        <v>0</v>
      </c>
      <c r="I5" s="31" t="s">
        <v>7</v>
      </c>
      <c r="J5" s="31" t="s">
        <v>7</v>
      </c>
      <c r="K5" s="49">
        <v>0</v>
      </c>
    </row>
    <row r="6" spans="1:12" x14ac:dyDescent="0.25">
      <c r="A6" s="29" t="s">
        <v>86</v>
      </c>
      <c r="B6" s="32" t="s">
        <v>232</v>
      </c>
      <c r="C6" s="29" t="s">
        <v>80</v>
      </c>
      <c r="D6" s="29" t="s">
        <v>87</v>
      </c>
      <c r="E6" s="32" t="s">
        <v>6</v>
      </c>
      <c r="F6" s="31"/>
      <c r="G6" s="31"/>
      <c r="H6" s="49">
        <v>0</v>
      </c>
      <c r="I6" s="31" t="s">
        <v>7</v>
      </c>
      <c r="J6" s="31" t="s">
        <v>7</v>
      </c>
      <c r="K6" s="49">
        <v>0</v>
      </c>
    </row>
    <row r="7" spans="1:12" x14ac:dyDescent="0.25">
      <c r="A7" s="29" t="s">
        <v>88</v>
      </c>
      <c r="B7" s="32" t="s">
        <v>233</v>
      </c>
      <c r="C7" s="29" t="s">
        <v>80</v>
      </c>
      <c r="D7" s="29" t="s">
        <v>89</v>
      </c>
      <c r="E7" s="32" t="s">
        <v>6</v>
      </c>
      <c r="F7" s="31"/>
      <c r="G7" s="31"/>
      <c r="H7" s="49">
        <v>0</v>
      </c>
      <c r="I7" s="31" t="s">
        <v>7</v>
      </c>
      <c r="J7" s="31" t="s">
        <v>7</v>
      </c>
      <c r="K7" s="49">
        <v>0</v>
      </c>
    </row>
    <row r="8" spans="1:12" x14ac:dyDescent="0.25">
      <c r="A8" s="29" t="s">
        <v>90</v>
      </c>
      <c r="B8" s="32" t="s">
        <v>234</v>
      </c>
      <c r="C8" s="29" t="s">
        <v>80</v>
      </c>
      <c r="D8" s="29" t="s">
        <v>91</v>
      </c>
      <c r="E8" s="32" t="s">
        <v>6</v>
      </c>
      <c r="F8" s="31"/>
      <c r="G8" s="31"/>
      <c r="H8" s="49">
        <v>0</v>
      </c>
      <c r="I8" s="31" t="s">
        <v>7</v>
      </c>
      <c r="J8" s="31" t="s">
        <v>7</v>
      </c>
      <c r="K8" s="49">
        <v>0</v>
      </c>
    </row>
    <row r="9" spans="1:12" x14ac:dyDescent="0.25">
      <c r="A9" s="29" t="s">
        <v>92</v>
      </c>
      <c r="B9" s="32" t="s">
        <v>235</v>
      </c>
      <c r="C9" s="29" t="s">
        <v>80</v>
      </c>
      <c r="D9" s="29" t="s">
        <v>93</v>
      </c>
      <c r="E9" s="32" t="s">
        <v>6</v>
      </c>
      <c r="F9" s="31"/>
      <c r="G9" s="31"/>
      <c r="H9" s="49">
        <v>0</v>
      </c>
      <c r="I9" s="31" t="s">
        <v>7</v>
      </c>
      <c r="J9" s="31" t="s">
        <v>7</v>
      </c>
      <c r="K9" s="49">
        <v>0</v>
      </c>
    </row>
    <row r="10" spans="1:12" ht="20.05" customHeight="1" x14ac:dyDescent="0.25">
      <c r="A10" s="74" t="s">
        <v>75</v>
      </c>
      <c r="B10" s="74"/>
      <c r="C10" s="74" t="s">
        <v>176</v>
      </c>
      <c r="D10" s="77"/>
      <c r="E10" s="77"/>
      <c r="F10" s="78"/>
      <c r="G10" s="78"/>
      <c r="H10" s="78"/>
      <c r="I10" s="78"/>
      <c r="J10" s="77"/>
      <c r="K10" s="77"/>
    </row>
    <row r="16" spans="1:12" x14ac:dyDescent="0.25">
      <c r="A16" s="14"/>
      <c r="B16" t="s">
        <v>28</v>
      </c>
    </row>
    <row r="17" spans="1:4" x14ac:dyDescent="0.25">
      <c r="A17" s="15"/>
      <c r="B17" t="s">
        <v>106</v>
      </c>
    </row>
    <row r="18" spans="1:4" x14ac:dyDescent="0.25">
      <c r="A18" t="s">
        <v>76</v>
      </c>
      <c r="B18" t="s">
        <v>107</v>
      </c>
    </row>
    <row r="19" spans="1:4" x14ac:dyDescent="0.25">
      <c r="A19" s="2" t="s">
        <v>13</v>
      </c>
      <c r="B19" s="2"/>
    </row>
    <row r="20" spans="1:4" x14ac:dyDescent="0.25">
      <c r="A20" s="27">
        <v>1</v>
      </c>
      <c r="B20" s="27"/>
      <c r="C20" t="s">
        <v>12</v>
      </c>
      <c r="D20" t="s">
        <v>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GenerateID">
                <anchor moveWithCells="1">
                  <from>
                    <xdr:col>1</xdr:col>
                    <xdr:colOff>370936</xdr:colOff>
                    <xdr:row>9</xdr:row>
                    <xdr:rowOff>25879</xdr:rowOff>
                  </from>
                  <to>
                    <xdr:col>1</xdr:col>
                    <xdr:colOff>1500996</xdr:colOff>
                    <xdr:row>9</xdr:row>
                    <xdr:rowOff>207034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280E-9F22-4664-9353-2154E0D70507}">
  <sheetPr codeName="Sheet4"/>
  <dimension ref="A1:J21"/>
  <sheetViews>
    <sheetView workbookViewId="0">
      <selection activeCell="C14" sqref="C14"/>
    </sheetView>
  </sheetViews>
  <sheetFormatPr defaultRowHeight="14.3" x14ac:dyDescent="0.25"/>
  <cols>
    <col min="1" max="1" width="19" bestFit="1" customWidth="1"/>
    <col min="2" max="3" width="21.625" customWidth="1"/>
    <col min="4" max="4" width="22.125" customWidth="1"/>
    <col min="5" max="5" width="10.5" customWidth="1"/>
    <col min="6" max="6" width="11.5" customWidth="1"/>
    <col min="7" max="7" width="2.875" bestFit="1" customWidth="1"/>
    <col min="8" max="8" width="15.875" customWidth="1"/>
    <col min="9" max="9" width="15.5" customWidth="1"/>
    <col min="10" max="10" width="15.125" customWidth="1"/>
    <col min="17" max="17" width="23.875" bestFit="1" customWidth="1"/>
  </cols>
  <sheetData>
    <row r="1" spans="1:10" x14ac:dyDescent="0.25">
      <c r="A1" s="28" t="s">
        <v>19</v>
      </c>
      <c r="B1" s="28" t="s">
        <v>0</v>
      </c>
      <c r="C1" s="28" t="s">
        <v>10</v>
      </c>
      <c r="D1" s="28" t="s">
        <v>2</v>
      </c>
      <c r="E1" s="28" t="s">
        <v>3</v>
      </c>
      <c r="F1" s="28" t="s">
        <v>4</v>
      </c>
      <c r="G1" s="19" t="s">
        <v>75</v>
      </c>
      <c r="H1" s="45" t="s">
        <v>104</v>
      </c>
      <c r="I1" s="45" t="s">
        <v>105</v>
      </c>
    </row>
    <row r="2" spans="1:10" x14ac:dyDescent="0.25">
      <c r="A2" s="32" t="s">
        <v>182</v>
      </c>
      <c r="B2" s="99" t="str">
        <f>VLOOKUP(H2,RoleTable, 2,0)</f>
        <v>1000000000000000000A</v>
      </c>
      <c r="C2" s="99" t="str">
        <f t="shared" ref="C2:C11" si="0">VLOOKUP(I2,UserTable, 2,0)</f>
        <v>2010251238263352314G</v>
      </c>
      <c r="D2" s="29" t="s">
        <v>7</v>
      </c>
      <c r="E2" s="31" t="s">
        <v>7</v>
      </c>
      <c r="F2" s="49">
        <v>0</v>
      </c>
      <c r="H2" s="42" t="s">
        <v>5</v>
      </c>
      <c r="I2" s="41" t="s">
        <v>79</v>
      </c>
      <c r="J2" s="62" t="s">
        <v>78</v>
      </c>
    </row>
    <row r="3" spans="1:10" x14ac:dyDescent="0.25">
      <c r="A3" s="32" t="s">
        <v>183</v>
      </c>
      <c r="B3" s="99" t="str">
        <f t="shared" ref="B3:B11" si="1">VLOOKUP(H3,RoleTable, 2,0)</f>
        <v>1000000000000000000A</v>
      </c>
      <c r="C3" s="99" t="str">
        <f t="shared" si="0"/>
        <v>2010251238268066909L</v>
      </c>
      <c r="D3" s="29" t="s">
        <v>7</v>
      </c>
      <c r="E3" s="31" t="s">
        <v>7</v>
      </c>
      <c r="F3" s="49">
        <v>0</v>
      </c>
      <c r="H3" s="42" t="s">
        <v>5</v>
      </c>
      <c r="I3" s="41" t="s">
        <v>82</v>
      </c>
    </row>
    <row r="4" spans="1:10" x14ac:dyDescent="0.25">
      <c r="A4" s="32" t="s">
        <v>184</v>
      </c>
      <c r="B4" s="99" t="str">
        <f t="shared" si="1"/>
        <v>1000000000000000000A</v>
      </c>
      <c r="C4" s="99" t="str">
        <f t="shared" si="0"/>
        <v>2010251238264410122N</v>
      </c>
      <c r="D4" s="29" t="s">
        <v>7</v>
      </c>
      <c r="E4" s="31" t="s">
        <v>7</v>
      </c>
      <c r="F4" s="49">
        <v>0</v>
      </c>
      <c r="H4" s="42" t="s">
        <v>5</v>
      </c>
      <c r="I4" s="41" t="s">
        <v>84</v>
      </c>
    </row>
    <row r="5" spans="1:10" x14ac:dyDescent="0.25">
      <c r="A5" s="32" t="s">
        <v>185</v>
      </c>
      <c r="B5" s="99" t="str">
        <f t="shared" si="1"/>
        <v>1000000000000000000A</v>
      </c>
      <c r="C5" s="99" t="str">
        <f t="shared" si="0"/>
        <v>2010251238263606985P</v>
      </c>
      <c r="D5" s="29" t="s">
        <v>7</v>
      </c>
      <c r="E5" s="31" t="s">
        <v>7</v>
      </c>
      <c r="F5" s="49">
        <v>0</v>
      </c>
      <c r="H5" s="42" t="s">
        <v>5</v>
      </c>
      <c r="I5" s="41" t="s">
        <v>86</v>
      </c>
    </row>
    <row r="6" spans="1:10" x14ac:dyDescent="0.25">
      <c r="A6" s="32" t="s">
        <v>186</v>
      </c>
      <c r="B6" s="99" t="str">
        <f t="shared" si="1"/>
        <v>1000000000000000000A</v>
      </c>
      <c r="C6" s="99" t="str">
        <f t="shared" si="0"/>
        <v>2010251238269274393W</v>
      </c>
      <c r="D6" s="29" t="s">
        <v>7</v>
      </c>
      <c r="E6" s="31" t="s">
        <v>7</v>
      </c>
      <c r="F6" s="49">
        <v>0</v>
      </c>
      <c r="H6" s="42" t="s">
        <v>5</v>
      </c>
      <c r="I6" s="41" t="s">
        <v>88</v>
      </c>
    </row>
    <row r="7" spans="1:10" x14ac:dyDescent="0.25">
      <c r="A7" s="32" t="s">
        <v>187</v>
      </c>
      <c r="B7" s="99" t="str">
        <f t="shared" si="1"/>
        <v>1000000000000000000A</v>
      </c>
      <c r="C7" s="99" t="str">
        <f t="shared" si="0"/>
        <v>2010251238266685681Y</v>
      </c>
      <c r="D7" s="29" t="s">
        <v>7</v>
      </c>
      <c r="E7" s="31" t="s">
        <v>7</v>
      </c>
      <c r="F7" s="49">
        <v>0</v>
      </c>
      <c r="H7" s="42" t="s">
        <v>5</v>
      </c>
      <c r="I7" s="41" t="s">
        <v>90</v>
      </c>
    </row>
    <row r="8" spans="1:10" x14ac:dyDescent="0.25">
      <c r="A8" s="32" t="s">
        <v>188</v>
      </c>
      <c r="B8" s="99" t="str">
        <f t="shared" si="1"/>
        <v>1000000000000000000A</v>
      </c>
      <c r="C8" s="99" t="str">
        <f t="shared" si="0"/>
        <v>2010251238266648778M</v>
      </c>
      <c r="D8" s="29" t="s">
        <v>7</v>
      </c>
      <c r="E8" s="31" t="s">
        <v>7</v>
      </c>
      <c r="F8" s="49">
        <v>0</v>
      </c>
      <c r="H8" s="42" t="s">
        <v>5</v>
      </c>
      <c r="I8" s="41" t="s">
        <v>92</v>
      </c>
    </row>
    <row r="9" spans="1:10" x14ac:dyDescent="0.25">
      <c r="A9" s="32" t="s">
        <v>189</v>
      </c>
      <c r="B9" s="99" t="str">
        <f t="shared" si="1"/>
        <v>2010251237245121743W</v>
      </c>
      <c r="C9" s="99" t="str">
        <f t="shared" si="0"/>
        <v>2010251238263352314G</v>
      </c>
      <c r="D9" s="29" t="s">
        <v>7</v>
      </c>
      <c r="E9" s="31" t="s">
        <v>7</v>
      </c>
      <c r="F9" s="49">
        <v>0</v>
      </c>
      <c r="H9" s="42" t="s">
        <v>98</v>
      </c>
      <c r="I9" s="41" t="s">
        <v>79</v>
      </c>
    </row>
    <row r="10" spans="1:10" x14ac:dyDescent="0.25">
      <c r="A10" s="32" t="s">
        <v>190</v>
      </c>
      <c r="B10" s="99" t="str">
        <f t="shared" si="1"/>
        <v>2010251237242674121J</v>
      </c>
      <c r="C10" s="99" t="str">
        <f t="shared" si="0"/>
        <v>2010251238263352314G</v>
      </c>
      <c r="D10" s="29" t="s">
        <v>7</v>
      </c>
      <c r="E10" s="31" t="s">
        <v>7</v>
      </c>
      <c r="F10" s="49">
        <v>0</v>
      </c>
      <c r="H10" s="42" t="s">
        <v>95</v>
      </c>
      <c r="I10" s="41" t="s">
        <v>79</v>
      </c>
    </row>
    <row r="11" spans="1:10" x14ac:dyDescent="0.25">
      <c r="A11" s="32" t="s">
        <v>181</v>
      </c>
      <c r="B11" s="99" t="str">
        <f t="shared" si="1"/>
        <v>2010251237242674121J</v>
      </c>
      <c r="C11" s="99" t="str">
        <f t="shared" si="0"/>
        <v>2010251238264410122N</v>
      </c>
      <c r="D11" s="29" t="s">
        <v>7</v>
      </c>
      <c r="E11" s="31" t="s">
        <v>7</v>
      </c>
      <c r="F11" s="49">
        <v>0</v>
      </c>
      <c r="H11" s="42" t="s">
        <v>95</v>
      </c>
      <c r="I11" s="41" t="s">
        <v>84</v>
      </c>
    </row>
    <row r="12" spans="1:10" ht="20.05" customHeight="1" x14ac:dyDescent="0.25">
      <c r="A12" s="74" t="s">
        <v>75</v>
      </c>
      <c r="B12" s="80" t="s">
        <v>102</v>
      </c>
      <c r="C12" s="79" t="s">
        <v>180</v>
      </c>
      <c r="D12" s="74"/>
      <c r="E12" s="76"/>
      <c r="F12" s="76"/>
      <c r="H12" s="77"/>
      <c r="I12" s="77"/>
    </row>
    <row r="13" spans="1:10" x14ac:dyDescent="0.25">
      <c r="I13" s="3"/>
      <c r="J13" s="3"/>
    </row>
    <row r="19" spans="1:2" x14ac:dyDescent="0.25">
      <c r="A19" s="14"/>
      <c r="B19" t="s">
        <v>28</v>
      </c>
    </row>
    <row r="20" spans="1:2" x14ac:dyDescent="0.25">
      <c r="A20" s="15"/>
      <c r="B20" t="s">
        <v>106</v>
      </c>
    </row>
    <row r="21" spans="1:2" x14ac:dyDescent="0.25">
      <c r="A21" t="s">
        <v>76</v>
      </c>
      <c r="B21" t="s">
        <v>107</v>
      </c>
    </row>
  </sheetData>
  <dataValidations count="4">
    <dataValidation type="list" allowBlank="1" showInputMessage="1" showErrorMessage="1" sqref="B12" xr:uid="{74DC7663-5858-4F94-80EF-DB776B6B3F3C}">
      <formula1>role_id</formula1>
    </dataValidation>
    <dataValidation type="list" allowBlank="1" showInputMessage="1" showErrorMessage="1" sqref="H2:H11" xr:uid="{4B6ABC8B-DB4E-4C40-B76D-7714A8116108}">
      <formula1>roleName</formula1>
    </dataValidation>
    <dataValidation type="list" allowBlank="1" showInputMessage="1" showErrorMessage="1" sqref="I2:I11" xr:uid="{3A2DFB6B-1E2A-463C-A607-9F62E986DD67}">
      <formula1>userName</formula1>
    </dataValidation>
    <dataValidation type="list" allowBlank="1" showInputMessage="1" showErrorMessage="1" sqref="C12" xr:uid="{0E459B89-2D62-4E66-938D-7E2999498583}">
      <formula1>user_id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GenerateID">
                <anchor moveWithCells="1">
                  <from>
                    <xdr:col>0</xdr:col>
                    <xdr:colOff>345057</xdr:colOff>
                    <xdr:row>11</xdr:row>
                    <xdr:rowOff>8626</xdr:rowOff>
                  </from>
                  <to>
                    <xdr:col>0</xdr:col>
                    <xdr:colOff>1242204</xdr:colOff>
                    <xdr:row>11</xdr:row>
                    <xdr:rowOff>232913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4B0D-EB8C-4053-A81F-C09EE215DA16}">
  <sheetPr codeName="Sheet5"/>
  <dimension ref="A1:O38"/>
  <sheetViews>
    <sheetView workbookViewId="0">
      <selection activeCell="D9" sqref="D9"/>
    </sheetView>
  </sheetViews>
  <sheetFormatPr defaultRowHeight="14.3" x14ac:dyDescent="0.25"/>
  <cols>
    <col min="1" max="1" width="10.25" customWidth="1"/>
    <col min="2" max="2" width="30" customWidth="1"/>
    <col min="3" max="3" width="40.625" customWidth="1"/>
    <col min="4" max="4" width="23.125" customWidth="1"/>
    <col min="5" max="5" width="20.875" customWidth="1"/>
    <col min="6" max="6" width="10.625" customWidth="1"/>
    <col min="7" max="7" width="16.375" customWidth="1"/>
    <col min="8" max="8" width="19.125" customWidth="1"/>
    <col min="9" max="9" width="12.5" customWidth="1"/>
    <col min="10" max="10" width="11.5" customWidth="1"/>
    <col min="11" max="11" width="11.625" customWidth="1"/>
    <col min="12" max="12" width="4.125" customWidth="1"/>
    <col min="13" max="13" width="11.875" bestFit="1" customWidth="1"/>
    <col min="19" max="19" width="23.875" bestFit="1" customWidth="1"/>
  </cols>
  <sheetData>
    <row r="1" spans="1:15" ht="42.8" x14ac:dyDescent="0.25">
      <c r="A1" s="5" t="s">
        <v>21</v>
      </c>
      <c r="B1" s="5" t="s">
        <v>147</v>
      </c>
      <c r="C1" s="5" t="s">
        <v>22</v>
      </c>
      <c r="D1" s="4" t="s">
        <v>20</v>
      </c>
      <c r="E1" s="5" t="s">
        <v>23</v>
      </c>
      <c r="F1" s="5" t="s">
        <v>197</v>
      </c>
      <c r="G1" s="5" t="s">
        <v>24</v>
      </c>
      <c r="H1" s="5" t="s">
        <v>25</v>
      </c>
      <c r="I1" s="5" t="s">
        <v>2</v>
      </c>
      <c r="J1" s="5" t="s">
        <v>3</v>
      </c>
      <c r="K1" s="6" t="s">
        <v>4</v>
      </c>
      <c r="L1" s="26" t="s">
        <v>75</v>
      </c>
      <c r="M1" s="81" t="s">
        <v>157</v>
      </c>
    </row>
    <row r="2" spans="1:15" x14ac:dyDescent="0.25">
      <c r="A2" s="33" t="s">
        <v>26</v>
      </c>
      <c r="B2" s="33" t="s">
        <v>27</v>
      </c>
      <c r="C2" s="33" t="s">
        <v>27</v>
      </c>
      <c r="D2" s="114" t="s">
        <v>192</v>
      </c>
      <c r="E2" s="114">
        <v>0</v>
      </c>
      <c r="F2" s="34">
        <v>0</v>
      </c>
      <c r="G2" s="34"/>
      <c r="H2" s="33"/>
      <c r="I2" s="33" t="s">
        <v>7</v>
      </c>
      <c r="J2" s="35" t="s">
        <v>7</v>
      </c>
      <c r="K2" s="51">
        <v>0</v>
      </c>
      <c r="L2" t="s">
        <v>77</v>
      </c>
    </row>
    <row r="3" spans="1:15" x14ac:dyDescent="0.25">
      <c r="A3" s="29" t="s">
        <v>196</v>
      </c>
      <c r="B3" s="29" t="s">
        <v>126</v>
      </c>
      <c r="C3" s="29" t="s">
        <v>148</v>
      </c>
      <c r="D3" s="32" t="s">
        <v>236</v>
      </c>
      <c r="E3" s="30" t="str">
        <f>D2</f>
        <v>1</v>
      </c>
      <c r="F3" s="30">
        <v>1</v>
      </c>
      <c r="G3" s="29" t="s">
        <v>127</v>
      </c>
      <c r="H3" s="29" t="s">
        <v>128</v>
      </c>
      <c r="I3" s="29" t="s">
        <v>7</v>
      </c>
      <c r="J3" s="29" t="s">
        <v>7</v>
      </c>
      <c r="K3" s="49">
        <v>0</v>
      </c>
      <c r="M3" s="60" t="b">
        <f>IsNodeFunction(ROW())</f>
        <v>0</v>
      </c>
    </row>
    <row r="4" spans="1:15" x14ac:dyDescent="0.25">
      <c r="A4" s="29" t="s">
        <v>196</v>
      </c>
      <c r="B4" s="29" t="s">
        <v>129</v>
      </c>
      <c r="C4" s="29" t="s">
        <v>149</v>
      </c>
      <c r="D4" s="32" t="s">
        <v>237</v>
      </c>
      <c r="E4" s="30" t="str">
        <f>D3</f>
        <v>2010251238591881764G</v>
      </c>
      <c r="F4" s="30">
        <v>0</v>
      </c>
      <c r="G4" s="29" t="s">
        <v>127</v>
      </c>
      <c r="H4" s="29" t="s">
        <v>131</v>
      </c>
      <c r="I4" s="29" t="s">
        <v>7</v>
      </c>
      <c r="J4" s="29" t="s">
        <v>7</v>
      </c>
      <c r="K4" s="49">
        <v>0</v>
      </c>
      <c r="L4" s="1"/>
      <c r="M4" s="60" t="b">
        <f t="shared" ref="M4:M10" si="0">IsNodeFunction(ROW())</f>
        <v>1</v>
      </c>
      <c r="O4" s="1"/>
    </row>
    <row r="5" spans="1:15" x14ac:dyDescent="0.25">
      <c r="A5" s="29" t="s">
        <v>196</v>
      </c>
      <c r="B5" s="29" t="s">
        <v>132</v>
      </c>
      <c r="C5" s="29" t="s">
        <v>150</v>
      </c>
      <c r="D5" s="32" t="s">
        <v>238</v>
      </c>
      <c r="E5" s="30" t="str">
        <f>D3</f>
        <v>2010251238591881764G</v>
      </c>
      <c r="F5" s="30">
        <v>0</v>
      </c>
      <c r="G5" s="29" t="s">
        <v>127</v>
      </c>
      <c r="H5" s="29" t="s">
        <v>134</v>
      </c>
      <c r="I5" s="29" t="s">
        <v>7</v>
      </c>
      <c r="J5" s="29" t="s">
        <v>7</v>
      </c>
      <c r="K5" s="49">
        <v>0</v>
      </c>
      <c r="M5" s="60" t="b">
        <f t="shared" si="0"/>
        <v>1</v>
      </c>
    </row>
    <row r="6" spans="1:15" x14ac:dyDescent="0.25">
      <c r="A6" s="29" t="s">
        <v>196</v>
      </c>
      <c r="B6" s="29" t="s">
        <v>135</v>
      </c>
      <c r="C6" s="29" t="s">
        <v>151</v>
      </c>
      <c r="D6" s="32" t="s">
        <v>239</v>
      </c>
      <c r="E6" s="32" t="str">
        <f>D2</f>
        <v>1</v>
      </c>
      <c r="F6" s="30">
        <v>2</v>
      </c>
      <c r="G6" s="29" t="s">
        <v>136</v>
      </c>
      <c r="H6" s="29" t="s">
        <v>137</v>
      </c>
      <c r="I6" s="29" t="s">
        <v>7</v>
      </c>
      <c r="J6" s="29" t="s">
        <v>7</v>
      </c>
      <c r="K6" s="49">
        <v>0</v>
      </c>
      <c r="M6" s="60" t="b">
        <f t="shared" si="0"/>
        <v>1</v>
      </c>
    </row>
    <row r="7" spans="1:15" x14ac:dyDescent="0.25">
      <c r="A7" s="29" t="s">
        <v>196</v>
      </c>
      <c r="B7" s="29" t="s">
        <v>138</v>
      </c>
      <c r="C7" s="29" t="s">
        <v>152</v>
      </c>
      <c r="D7" s="32" t="s">
        <v>240</v>
      </c>
      <c r="E7" s="32" t="str">
        <f>D2</f>
        <v>1</v>
      </c>
      <c r="F7" s="30">
        <v>3</v>
      </c>
      <c r="G7" s="29" t="s">
        <v>139</v>
      </c>
      <c r="H7" s="29" t="s">
        <v>140</v>
      </c>
      <c r="I7" s="29" t="s">
        <v>7</v>
      </c>
      <c r="J7" s="29" t="s">
        <v>7</v>
      </c>
      <c r="K7" s="49">
        <v>0</v>
      </c>
      <c r="M7" s="60" t="b">
        <f t="shared" si="0"/>
        <v>0</v>
      </c>
    </row>
    <row r="8" spans="1:15" x14ac:dyDescent="0.25">
      <c r="A8" s="29" t="s">
        <v>196</v>
      </c>
      <c r="B8" s="29" t="s">
        <v>141</v>
      </c>
      <c r="C8" s="29" t="s">
        <v>153</v>
      </c>
      <c r="D8" s="32" t="s">
        <v>241</v>
      </c>
      <c r="E8" s="30" t="str">
        <f>D7</f>
        <v>2010251238598513354Q</v>
      </c>
      <c r="F8" s="30">
        <v>4</v>
      </c>
      <c r="G8" s="29" t="s">
        <v>142</v>
      </c>
      <c r="H8" s="29" t="s">
        <v>140</v>
      </c>
      <c r="I8" s="29" t="s">
        <v>7</v>
      </c>
      <c r="J8" s="29" t="s">
        <v>7</v>
      </c>
      <c r="K8" s="49">
        <v>0</v>
      </c>
      <c r="M8" s="60" t="b">
        <f t="shared" si="0"/>
        <v>0</v>
      </c>
    </row>
    <row r="9" spans="1:15" x14ac:dyDescent="0.25">
      <c r="A9" s="29" t="s">
        <v>196</v>
      </c>
      <c r="B9" s="29" t="s">
        <v>143</v>
      </c>
      <c r="C9" s="29" t="s">
        <v>154</v>
      </c>
      <c r="D9" s="32" t="s">
        <v>242</v>
      </c>
      <c r="E9" s="30" t="str">
        <f>D7</f>
        <v>2010251238598513354Q</v>
      </c>
      <c r="F9" s="30">
        <v>5</v>
      </c>
      <c r="G9" s="29" t="s">
        <v>144</v>
      </c>
      <c r="H9" s="29" t="s">
        <v>140</v>
      </c>
      <c r="I9" s="29" t="s">
        <v>7</v>
      </c>
      <c r="J9" s="29" t="s">
        <v>7</v>
      </c>
      <c r="K9" s="49">
        <v>0</v>
      </c>
      <c r="M9" s="60" t="b">
        <f t="shared" si="0"/>
        <v>1</v>
      </c>
    </row>
    <row r="10" spans="1:15" x14ac:dyDescent="0.25">
      <c r="A10" s="29" t="s">
        <v>196</v>
      </c>
      <c r="B10" s="29" t="s">
        <v>145</v>
      </c>
      <c r="C10" s="29" t="s">
        <v>155</v>
      </c>
      <c r="D10" s="32" t="s">
        <v>243</v>
      </c>
      <c r="E10" s="32" t="str">
        <f>D8</f>
        <v>2010251238591203662X</v>
      </c>
      <c r="F10" s="30">
        <v>6</v>
      </c>
      <c r="G10" s="29" t="s">
        <v>253</v>
      </c>
      <c r="H10" s="29" t="s">
        <v>140</v>
      </c>
      <c r="I10" s="29" t="s">
        <v>7</v>
      </c>
      <c r="J10" s="29" t="s">
        <v>7</v>
      </c>
      <c r="K10" s="49">
        <v>0</v>
      </c>
      <c r="M10" s="60" t="b">
        <f t="shared" si="0"/>
        <v>1</v>
      </c>
    </row>
    <row r="11" spans="1:15" ht="18.55" customHeight="1" x14ac:dyDescent="0.25">
      <c r="A11" s="74" t="s">
        <v>75</v>
      </c>
      <c r="B11" s="74"/>
      <c r="C11" s="74"/>
      <c r="D11" s="74"/>
      <c r="E11" s="74"/>
      <c r="F11" s="74"/>
      <c r="G11" s="74"/>
      <c r="H11" s="74"/>
      <c r="I11" s="74"/>
      <c r="J11" s="76"/>
      <c r="K11" s="76"/>
      <c r="M11" s="77" t="s">
        <v>254</v>
      </c>
    </row>
    <row r="12" spans="1:15" x14ac:dyDescent="0.25">
      <c r="H12" s="3"/>
      <c r="I12" s="3"/>
    </row>
    <row r="14" spans="1:15" x14ac:dyDescent="0.25">
      <c r="M14" t="s">
        <v>34</v>
      </c>
    </row>
    <row r="18" spans="1:13" x14ac:dyDescent="0.25">
      <c r="A18" s="14"/>
      <c r="B18" s="14"/>
      <c r="C18" t="s">
        <v>28</v>
      </c>
      <c r="E18" s="48"/>
    </row>
    <row r="19" spans="1:13" x14ac:dyDescent="0.25">
      <c r="A19" s="15"/>
      <c r="B19" s="64"/>
      <c r="C19" t="s">
        <v>106</v>
      </c>
      <c r="E19" s="48"/>
    </row>
    <row r="20" spans="1:13" x14ac:dyDescent="0.25">
      <c r="A20" t="s">
        <v>76</v>
      </c>
      <c r="C20" t="s">
        <v>107</v>
      </c>
    </row>
    <row r="22" spans="1:13" ht="28.55" x14ac:dyDescent="0.25">
      <c r="A22" s="59" t="s">
        <v>120</v>
      </c>
      <c r="B22" s="59"/>
      <c r="C22" s="136"/>
      <c r="D22" s="136"/>
      <c r="E22" s="136"/>
    </row>
    <row r="23" spans="1:13" x14ac:dyDescent="0.25">
      <c r="A23" s="60" t="s">
        <v>26</v>
      </c>
      <c r="B23" s="60"/>
      <c r="C23" s="136" t="s">
        <v>27</v>
      </c>
      <c r="D23" s="136"/>
      <c r="E23" s="136"/>
    </row>
    <row r="24" spans="1:13" x14ac:dyDescent="0.25">
      <c r="A24" s="60" t="s">
        <v>122</v>
      </c>
      <c r="B24" s="60"/>
      <c r="C24" s="136" t="s">
        <v>121</v>
      </c>
      <c r="D24" s="136"/>
      <c r="E24" s="136"/>
    </row>
    <row r="25" spans="1:13" x14ac:dyDescent="0.25">
      <c r="A25" s="60"/>
      <c r="B25" s="60"/>
      <c r="C25" s="136"/>
      <c r="D25" s="136"/>
      <c r="E25" s="136"/>
    </row>
    <row r="31" spans="1:13" x14ac:dyDescent="0.25">
      <c r="A31">
        <v>10000000</v>
      </c>
      <c r="B31" t="s">
        <v>124</v>
      </c>
      <c r="C31" t="s">
        <v>163</v>
      </c>
      <c r="D31" t="s">
        <v>126</v>
      </c>
      <c r="E31">
        <v>1</v>
      </c>
      <c r="F31">
        <v>1</v>
      </c>
      <c r="G31" t="s">
        <v>127</v>
      </c>
      <c r="H31" t="s">
        <v>128</v>
      </c>
      <c r="I31" t="s">
        <v>7</v>
      </c>
      <c r="J31" s="100">
        <v>44092.164212962962</v>
      </c>
      <c r="K31" t="s">
        <v>7</v>
      </c>
      <c r="L31" s="100">
        <v>44092.164212962962</v>
      </c>
      <c r="M31">
        <v>0</v>
      </c>
    </row>
    <row r="32" spans="1:13" x14ac:dyDescent="0.25">
      <c r="A32">
        <v>10010000</v>
      </c>
      <c r="B32" t="s">
        <v>124</v>
      </c>
      <c r="C32" t="s">
        <v>164</v>
      </c>
      <c r="D32" t="s">
        <v>129</v>
      </c>
      <c r="E32">
        <v>10000000</v>
      </c>
      <c r="F32">
        <v>1</v>
      </c>
      <c r="G32" t="s">
        <v>130</v>
      </c>
      <c r="H32" t="s">
        <v>131</v>
      </c>
      <c r="I32" t="s">
        <v>7</v>
      </c>
      <c r="J32" s="100">
        <v>44092.164212962962</v>
      </c>
      <c r="K32" t="s">
        <v>7</v>
      </c>
      <c r="L32" s="100">
        <v>44092.164212962962</v>
      </c>
      <c r="M32">
        <v>0</v>
      </c>
    </row>
    <row r="33" spans="1:13" x14ac:dyDescent="0.25">
      <c r="A33">
        <v>10020000</v>
      </c>
      <c r="B33" t="s">
        <v>124</v>
      </c>
      <c r="C33" t="s">
        <v>165</v>
      </c>
      <c r="D33" t="s">
        <v>132</v>
      </c>
      <c r="E33">
        <v>10000000</v>
      </c>
      <c r="F33">
        <v>1</v>
      </c>
      <c r="G33" t="s">
        <v>133</v>
      </c>
      <c r="H33" t="s">
        <v>134</v>
      </c>
      <c r="I33" t="s">
        <v>7</v>
      </c>
      <c r="J33" s="100">
        <v>44092.164212962962</v>
      </c>
      <c r="K33" t="s">
        <v>7</v>
      </c>
      <c r="L33" s="100">
        <v>44092.164212962962</v>
      </c>
      <c r="M33">
        <v>0</v>
      </c>
    </row>
    <row r="34" spans="1:13" x14ac:dyDescent="0.25">
      <c r="A34">
        <v>11000000</v>
      </c>
      <c r="B34" t="s">
        <v>124</v>
      </c>
      <c r="C34" t="s">
        <v>166</v>
      </c>
      <c r="D34" t="s">
        <v>135</v>
      </c>
      <c r="E34">
        <v>1</v>
      </c>
      <c r="F34">
        <v>1</v>
      </c>
      <c r="G34" t="s">
        <v>136</v>
      </c>
      <c r="H34" t="s">
        <v>137</v>
      </c>
      <c r="I34" t="s">
        <v>7</v>
      </c>
      <c r="J34" s="100">
        <v>44092.164212962962</v>
      </c>
      <c r="K34" t="s">
        <v>7</v>
      </c>
      <c r="L34" s="100">
        <v>44092.164212962962</v>
      </c>
      <c r="M34">
        <v>0</v>
      </c>
    </row>
    <row r="35" spans="1:13" x14ac:dyDescent="0.25">
      <c r="A35">
        <v>11010000</v>
      </c>
      <c r="B35" t="s">
        <v>124</v>
      </c>
      <c r="C35" t="s">
        <v>167</v>
      </c>
      <c r="D35" t="s">
        <v>138</v>
      </c>
      <c r="E35">
        <v>11000000</v>
      </c>
      <c r="F35">
        <v>1</v>
      </c>
      <c r="G35" t="s">
        <v>139</v>
      </c>
      <c r="H35" t="s">
        <v>140</v>
      </c>
      <c r="I35" t="s">
        <v>7</v>
      </c>
      <c r="J35" s="100">
        <v>44092.164212962962</v>
      </c>
      <c r="K35" t="s">
        <v>7</v>
      </c>
      <c r="L35" s="100">
        <v>44092.164212962962</v>
      </c>
      <c r="M35">
        <v>2000</v>
      </c>
    </row>
    <row r="36" spans="1:13" x14ac:dyDescent="0.25">
      <c r="A36">
        <v>11010100</v>
      </c>
      <c r="B36" t="s">
        <v>124</v>
      </c>
      <c r="C36" t="s">
        <v>168</v>
      </c>
      <c r="D36" t="s">
        <v>141</v>
      </c>
      <c r="E36">
        <v>11010000</v>
      </c>
      <c r="F36">
        <v>1</v>
      </c>
      <c r="G36" t="s">
        <v>142</v>
      </c>
      <c r="H36" t="s">
        <v>140</v>
      </c>
      <c r="I36" t="s">
        <v>7</v>
      </c>
      <c r="J36" s="100">
        <v>44092.164212962962</v>
      </c>
      <c r="K36" t="s">
        <v>7</v>
      </c>
      <c r="L36" s="100">
        <v>44092.164212962962</v>
      </c>
      <c r="M36">
        <v>0</v>
      </c>
    </row>
    <row r="37" spans="1:13" x14ac:dyDescent="0.25">
      <c r="A37">
        <v>11010200</v>
      </c>
      <c r="B37" t="s">
        <v>124</v>
      </c>
      <c r="C37" t="s">
        <v>169</v>
      </c>
      <c r="D37" t="s">
        <v>143</v>
      </c>
      <c r="E37">
        <v>11010000</v>
      </c>
      <c r="F37">
        <v>1</v>
      </c>
      <c r="G37" t="s">
        <v>144</v>
      </c>
      <c r="H37" t="s">
        <v>140</v>
      </c>
      <c r="I37" t="s">
        <v>7</v>
      </c>
      <c r="J37" s="100">
        <v>44092.164212962962</v>
      </c>
      <c r="K37" t="s">
        <v>7</v>
      </c>
      <c r="L37" s="100">
        <v>44092.164212962962</v>
      </c>
      <c r="M37">
        <v>0</v>
      </c>
    </row>
    <row r="38" spans="1:13" x14ac:dyDescent="0.25">
      <c r="A38">
        <v>11010300</v>
      </c>
      <c r="B38" t="s">
        <v>124</v>
      </c>
      <c r="C38" t="s">
        <v>170</v>
      </c>
      <c r="D38" t="s">
        <v>145</v>
      </c>
      <c r="E38">
        <v>11010000</v>
      </c>
      <c r="F38">
        <v>1</v>
      </c>
      <c r="G38" t="s">
        <v>146</v>
      </c>
      <c r="H38" t="s">
        <v>140</v>
      </c>
      <c r="I38" t="s">
        <v>7</v>
      </c>
      <c r="J38" s="100">
        <v>44092.164212962962</v>
      </c>
      <c r="K38" t="s">
        <v>7</v>
      </c>
      <c r="L38" s="100">
        <v>44092.164212962962</v>
      </c>
      <c r="M38">
        <v>0</v>
      </c>
    </row>
  </sheetData>
  <mergeCells count="4">
    <mergeCell ref="C22:E22"/>
    <mergeCell ref="C23:E23"/>
    <mergeCell ref="C24:E24"/>
    <mergeCell ref="C25:E25"/>
  </mergeCells>
  <dataValidations count="2">
    <dataValidation type="list" allowBlank="1" showInputMessage="1" showErrorMessage="1" sqref="B10 A2" xr:uid="{4780C974-8E0C-4BCF-B86E-97B5E49FE567}">
      <formula1>"R, F"</formula1>
    </dataValidation>
    <dataValidation type="list" allowBlank="1" showInputMessage="1" showErrorMessage="1" sqref="A3:A10" xr:uid="{00935D6B-8E2D-49AC-9E39-4C49225207C0}">
      <formula1>"R, M, B,  A"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nerateID">
                <anchor moveWithCells="1">
                  <from>
                    <xdr:col>3</xdr:col>
                    <xdr:colOff>155275</xdr:colOff>
                    <xdr:row>10</xdr:row>
                    <xdr:rowOff>25879</xdr:rowOff>
                  </from>
                  <to>
                    <xdr:col>3</xdr:col>
                    <xdr:colOff>1285336</xdr:colOff>
                    <xdr:row>10</xdr:row>
                    <xdr:rowOff>207034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1A7EF-08B8-4300-A207-F5351A597710}">
  <sheetPr codeName="Sheet6"/>
  <dimension ref="A1:L22"/>
  <sheetViews>
    <sheetView topLeftCell="A8" workbookViewId="0">
      <selection activeCell="A13" sqref="A13"/>
    </sheetView>
  </sheetViews>
  <sheetFormatPr defaultRowHeight="14.3" x14ac:dyDescent="0.25"/>
  <cols>
    <col min="1" max="1" width="22.125" customWidth="1"/>
    <col min="2" max="2" width="25.375" customWidth="1"/>
    <col min="3" max="3" width="23.875" customWidth="1"/>
    <col min="4" max="4" width="12.125" customWidth="1"/>
    <col min="5" max="5" width="13.375" customWidth="1"/>
    <col min="6" max="6" width="12.5" customWidth="1"/>
    <col min="7" max="7" width="2.875" bestFit="1" customWidth="1"/>
    <col min="8" max="8" width="22.5" customWidth="1"/>
    <col min="9" max="9" width="16.25" customWidth="1"/>
    <col min="10" max="10" width="44.25" customWidth="1"/>
    <col min="11" max="11" width="21.5" customWidth="1"/>
    <col min="17" max="17" width="23.875" bestFit="1" customWidth="1"/>
  </cols>
  <sheetData>
    <row r="1" spans="1:12" ht="49.1" customHeight="1" x14ac:dyDescent="0.25">
      <c r="A1" s="68" t="s">
        <v>29</v>
      </c>
      <c r="B1" s="69" t="s">
        <v>20</v>
      </c>
      <c r="C1" s="69" t="s">
        <v>0</v>
      </c>
      <c r="D1" s="70" t="s">
        <v>2</v>
      </c>
      <c r="E1" s="70" t="s">
        <v>3</v>
      </c>
      <c r="F1" s="70" t="s">
        <v>4</v>
      </c>
      <c r="G1" s="71" t="s">
        <v>75</v>
      </c>
      <c r="H1" s="72" t="s">
        <v>123</v>
      </c>
      <c r="I1" s="63" t="s">
        <v>104</v>
      </c>
      <c r="J1" s="73" t="s">
        <v>156</v>
      </c>
      <c r="K1" s="63" t="s">
        <v>179</v>
      </c>
    </row>
    <row r="2" spans="1:12" ht="34" customHeight="1" x14ac:dyDescent="0.25">
      <c r="A2" s="113" t="s">
        <v>255</v>
      </c>
      <c r="B2" s="107" t="str">
        <f>VLOOKUP(H2,functable,2,0)</f>
        <v>2010251238591881764G</v>
      </c>
      <c r="C2" s="108" t="str">
        <f t="shared" ref="C2:C4" si="0">VLOOKUP(I2, RoleTable, 2,0)</f>
        <v>2010251237242674121J</v>
      </c>
      <c r="D2" s="109" t="s">
        <v>7</v>
      </c>
      <c r="E2" s="110" t="s">
        <v>7</v>
      </c>
      <c r="F2" s="111">
        <v>0</v>
      </c>
      <c r="H2" s="61" t="s">
        <v>148</v>
      </c>
      <c r="I2" s="105" t="s">
        <v>95</v>
      </c>
      <c r="J2" s="106" t="str">
        <f t="shared" ref="J2:J13" si="1">IsParentAssigned(B2,I2)</f>
        <v>Ok.  Either this is a node function with no parent or the parent is Root (not assignable).</v>
      </c>
      <c r="K2" s="112" t="str">
        <f>getUsersInRole(I2)</f>
        <v xml:space="preserve">hcneo _x000D_
pgong _x000D_
</v>
      </c>
    </row>
    <row r="3" spans="1:12" ht="31.95" customHeight="1" x14ac:dyDescent="0.25">
      <c r="A3" s="113" t="s">
        <v>256</v>
      </c>
      <c r="B3" s="107" t="str">
        <f t="shared" ref="B3:B4" si="2">VLOOKUP(H3,functable,2,0)</f>
        <v>2010251238596049360P</v>
      </c>
      <c r="C3" s="108" t="str">
        <f t="shared" si="0"/>
        <v>2010251237242674121J</v>
      </c>
      <c r="D3" s="109" t="s">
        <v>7</v>
      </c>
      <c r="E3" s="110" t="s">
        <v>7</v>
      </c>
      <c r="F3" s="111">
        <v>0</v>
      </c>
      <c r="H3" s="61" t="s">
        <v>149</v>
      </c>
      <c r="I3" s="105" t="s">
        <v>95</v>
      </c>
      <c r="J3" s="106" t="str">
        <f t="shared" si="1"/>
        <v>Ok. the parent function AcctMgt has been assigned to the same role Finance Manager</v>
      </c>
      <c r="K3" s="112" t="str">
        <f t="shared" ref="K3:K13" si="3">getUsersInRole(I3)</f>
        <v xml:space="preserve">hcneo _x000D_
pgong _x000D_
</v>
      </c>
    </row>
    <row r="4" spans="1:12" ht="35.5" customHeight="1" x14ac:dyDescent="0.25">
      <c r="A4" s="113" t="s">
        <v>257</v>
      </c>
      <c r="B4" s="107" t="str">
        <f t="shared" si="2"/>
        <v>2010251238597250367S</v>
      </c>
      <c r="C4" s="108" t="str">
        <f t="shared" si="0"/>
        <v>2010251237242674121J</v>
      </c>
      <c r="D4" s="109" t="s">
        <v>7</v>
      </c>
      <c r="E4" s="110" t="s">
        <v>7</v>
      </c>
      <c r="F4" s="111">
        <v>0</v>
      </c>
      <c r="H4" s="61" t="s">
        <v>150</v>
      </c>
      <c r="I4" s="105" t="s">
        <v>95</v>
      </c>
      <c r="J4" s="106" t="str">
        <f t="shared" si="1"/>
        <v>Ok. the parent function AcctMgt has been assigned to the same role Finance Manager</v>
      </c>
      <c r="K4" s="106" t="str">
        <f t="shared" si="3"/>
        <v xml:space="preserve">hcneo _x000D_
pgong _x000D_
</v>
      </c>
    </row>
    <row r="5" spans="1:12" ht="28.55" x14ac:dyDescent="0.25">
      <c r="A5" s="113" t="s">
        <v>258</v>
      </c>
      <c r="B5" s="107" t="str">
        <f t="shared" ref="B5" si="4">VLOOKUP(H5,functable,2,0)</f>
        <v>2010251238599223458H</v>
      </c>
      <c r="C5" s="108" t="str">
        <f t="shared" ref="C5" si="5">VLOOKUP(I5, RoleTable, 2,0)</f>
        <v>2010251237242868050A</v>
      </c>
      <c r="D5" s="109" t="s">
        <v>7</v>
      </c>
      <c r="E5" s="110" t="s">
        <v>7</v>
      </c>
      <c r="F5" s="111">
        <v>0</v>
      </c>
      <c r="H5" s="61" t="s">
        <v>151</v>
      </c>
      <c r="I5" s="105" t="s">
        <v>94</v>
      </c>
      <c r="J5" s="106" t="str">
        <f t="shared" si="1"/>
        <v>Ok.  Either this is a node function with no parent or the parent is Root (not assignable).</v>
      </c>
      <c r="K5" s="106" t="str">
        <f t="shared" si="3"/>
        <v>Not assigned yet</v>
      </c>
    </row>
    <row r="6" spans="1:12" ht="28.55" x14ac:dyDescent="0.25">
      <c r="A6" s="113" t="s">
        <v>259</v>
      </c>
      <c r="B6" s="107" t="str">
        <f t="shared" ref="B6" si="6">VLOOKUP(H6,functable,2,0)</f>
        <v>2010251238598513354Q</v>
      </c>
      <c r="C6" s="108" t="str">
        <f t="shared" ref="C6" si="7">VLOOKUP(I6, RoleTable, 2,0)</f>
        <v>2010251237245121743W</v>
      </c>
      <c r="D6" s="109" t="s">
        <v>7</v>
      </c>
      <c r="E6" s="110" t="s">
        <v>7</v>
      </c>
      <c r="F6" s="111">
        <v>0</v>
      </c>
      <c r="H6" s="61" t="s">
        <v>152</v>
      </c>
      <c r="I6" s="105" t="s">
        <v>98</v>
      </c>
      <c r="J6" s="106" t="str">
        <f t="shared" si="1"/>
        <v>Ok.  Either this is a node function with no parent or the parent is Root (not assignable).</v>
      </c>
      <c r="K6" s="106" t="str">
        <f t="shared" si="3"/>
        <v xml:space="preserve">hcneo _x000D_
</v>
      </c>
    </row>
    <row r="7" spans="1:12" ht="28.55" x14ac:dyDescent="0.25">
      <c r="A7" s="113" t="s">
        <v>260</v>
      </c>
      <c r="B7" s="107" t="str">
        <f t="shared" ref="B7" si="8">VLOOKUP(H7,functable,2,0)</f>
        <v>2010251238591203662X</v>
      </c>
      <c r="C7" s="108" t="str">
        <f t="shared" ref="C7" si="9">VLOOKUP(I7, RoleTable, 2,0)</f>
        <v>2010251237245121743W</v>
      </c>
      <c r="D7" s="109" t="s">
        <v>7</v>
      </c>
      <c r="E7" s="110" t="s">
        <v>7</v>
      </c>
      <c r="F7" s="111">
        <v>0</v>
      </c>
      <c r="H7" s="61" t="s">
        <v>153</v>
      </c>
      <c r="I7" s="105" t="s">
        <v>98</v>
      </c>
      <c r="J7" s="106" t="str">
        <f t="shared" si="1"/>
        <v>Ok. the parent function LoanProcessing has been assigned to the same role Loan Manager</v>
      </c>
      <c r="K7" s="106" t="str">
        <f t="shared" si="3"/>
        <v xml:space="preserve">hcneo _x000D_
</v>
      </c>
    </row>
    <row r="8" spans="1:12" ht="28.55" x14ac:dyDescent="0.25">
      <c r="A8" s="113" t="s">
        <v>261</v>
      </c>
      <c r="B8" s="107" t="str">
        <f t="shared" ref="B8:B12" si="10">VLOOKUP(H8,functable,2,0)</f>
        <v>2010251238595890245F</v>
      </c>
      <c r="C8" s="108" t="str">
        <f t="shared" ref="C8:C12" si="11">VLOOKUP(I8, RoleTable, 2,0)</f>
        <v>2010251237245121743W</v>
      </c>
      <c r="D8" s="109" t="s">
        <v>7</v>
      </c>
      <c r="E8" s="110" t="s">
        <v>7</v>
      </c>
      <c r="F8" s="111">
        <v>0</v>
      </c>
      <c r="H8" s="61" t="s">
        <v>154</v>
      </c>
      <c r="I8" s="105" t="s">
        <v>98</v>
      </c>
      <c r="J8" s="106" t="str">
        <f t="shared" si="1"/>
        <v>Ok. the parent function LoanProcessing has been assigned to the same role Loan Manager</v>
      </c>
      <c r="K8" s="106" t="str">
        <f t="shared" si="3"/>
        <v xml:space="preserve">hcneo _x000D_
</v>
      </c>
    </row>
    <row r="9" spans="1:12" ht="28.55" x14ac:dyDescent="0.25">
      <c r="A9" s="113" t="s">
        <v>262</v>
      </c>
      <c r="B9" s="107" t="str">
        <f t="shared" si="10"/>
        <v>2010251238599245475A</v>
      </c>
      <c r="C9" s="108" t="str">
        <f t="shared" ref="C9" si="12">VLOOKUP(I9, RoleTable, 2,0)</f>
        <v>2010251237245121743W</v>
      </c>
      <c r="D9" s="109" t="s">
        <v>7</v>
      </c>
      <c r="E9" s="110" t="s">
        <v>7</v>
      </c>
      <c r="F9" s="111">
        <v>0</v>
      </c>
      <c r="H9" s="61" t="s">
        <v>155</v>
      </c>
      <c r="I9" s="105" t="s">
        <v>98</v>
      </c>
      <c r="J9" s="106" t="str">
        <f t="shared" si="1"/>
        <v>Ok. the parent function LoanProcessing.Approval has been assigned to the same role Loan Manager</v>
      </c>
      <c r="K9" s="106"/>
    </row>
    <row r="10" spans="1:12" ht="28.55" x14ac:dyDescent="0.25">
      <c r="A10" s="113" t="s">
        <v>263</v>
      </c>
      <c r="B10" s="107" t="str">
        <f t="shared" ref="B10" si="13">VLOOKUP(H10,functable,2,0)</f>
        <v>2010251238591881764G</v>
      </c>
      <c r="C10" s="108" t="str">
        <f t="shared" ref="C10" si="14">VLOOKUP(I10, RoleTable, 2,0)</f>
        <v>2010251237245121743W</v>
      </c>
      <c r="D10" s="109" t="s">
        <v>7</v>
      </c>
      <c r="E10" s="110" t="s">
        <v>7</v>
      </c>
      <c r="F10" s="111">
        <v>0</v>
      </c>
      <c r="H10" s="61" t="s">
        <v>148</v>
      </c>
      <c r="I10" s="105" t="s">
        <v>98</v>
      </c>
      <c r="J10" s="106" t="str">
        <f t="shared" si="1"/>
        <v>Ok.  Either this is a node function with no parent or the parent is Root (not assignable).</v>
      </c>
      <c r="K10" s="106" t="str">
        <f t="shared" si="3"/>
        <v xml:space="preserve">hcneo _x000D_
</v>
      </c>
    </row>
    <row r="11" spans="1:12" ht="28.55" x14ac:dyDescent="0.25">
      <c r="A11" s="113" t="s">
        <v>264</v>
      </c>
      <c r="B11" s="107" t="str">
        <f t="shared" si="10"/>
        <v>2010251238596049360P</v>
      </c>
      <c r="C11" s="108" t="str">
        <f t="shared" si="11"/>
        <v>2010251237245121743W</v>
      </c>
      <c r="D11" s="109" t="s">
        <v>7</v>
      </c>
      <c r="E11" s="110" t="s">
        <v>7</v>
      </c>
      <c r="F11" s="111">
        <v>0</v>
      </c>
      <c r="H11" s="61" t="s">
        <v>149</v>
      </c>
      <c r="I11" s="105" t="s">
        <v>98</v>
      </c>
      <c r="J11" s="106" t="str">
        <f t="shared" si="1"/>
        <v>Ok. the parent function AcctMgt has been assigned to the same role Loan Manager</v>
      </c>
      <c r="K11" s="106" t="str">
        <f t="shared" si="3"/>
        <v xml:space="preserve">hcneo _x000D_
</v>
      </c>
      <c r="L11" t="s">
        <v>193</v>
      </c>
    </row>
    <row r="12" spans="1:12" ht="28.55" x14ac:dyDescent="0.25">
      <c r="A12" s="113" t="s">
        <v>265</v>
      </c>
      <c r="B12" s="107" t="str">
        <f t="shared" si="10"/>
        <v>2010251238597250367S</v>
      </c>
      <c r="C12" s="108" t="str">
        <f t="shared" si="11"/>
        <v>2010251237245121743W</v>
      </c>
      <c r="D12" s="109" t="s">
        <v>7</v>
      </c>
      <c r="E12" s="110" t="s">
        <v>7</v>
      </c>
      <c r="F12" s="111">
        <v>0</v>
      </c>
      <c r="H12" s="61" t="s">
        <v>150</v>
      </c>
      <c r="I12" s="105" t="s">
        <v>98</v>
      </c>
      <c r="J12" s="106" t="str">
        <f t="shared" si="1"/>
        <v>Ok. the parent function AcctMgt has been assigned to the same role Loan Manager</v>
      </c>
      <c r="K12" s="106" t="str">
        <f t="shared" si="3"/>
        <v xml:space="preserve">hcneo _x000D_
</v>
      </c>
    </row>
    <row r="13" spans="1:12" x14ac:dyDescent="0.25">
      <c r="A13" s="121" t="s">
        <v>266</v>
      </c>
      <c r="B13" s="107" t="e">
        <f t="shared" ref="B13" si="15">VLOOKUP(H13,functable,2,0)</f>
        <v>#N/A</v>
      </c>
      <c r="C13" s="108" t="e">
        <f t="shared" ref="C13" si="16">VLOOKUP(I13, RoleTable, 2,0)</f>
        <v>#N/A</v>
      </c>
      <c r="D13" s="109" t="s">
        <v>7</v>
      </c>
      <c r="E13" s="110" t="s">
        <v>7</v>
      </c>
      <c r="F13" s="111">
        <v>0</v>
      </c>
      <c r="H13" s="43"/>
      <c r="I13" s="44"/>
      <c r="J13" s="106" t="e">
        <f t="shared" si="1"/>
        <v>#VALUE!</v>
      </c>
      <c r="K13" s="106" t="str">
        <f t="shared" si="3"/>
        <v>Not assigned yet</v>
      </c>
    </row>
    <row r="14" spans="1:12" ht="28.55" x14ac:dyDescent="0.25">
      <c r="A14" s="84" t="s">
        <v>75</v>
      </c>
      <c r="B14" s="82" t="s">
        <v>103</v>
      </c>
      <c r="C14" s="80" t="s">
        <v>102</v>
      </c>
      <c r="D14" s="74"/>
      <c r="E14" s="76"/>
      <c r="F14" s="76"/>
      <c r="H14" s="77"/>
      <c r="I14" s="77"/>
      <c r="J14" s="83" t="s">
        <v>158</v>
      </c>
      <c r="K14" s="60"/>
    </row>
    <row r="15" spans="1:12" x14ac:dyDescent="0.25">
      <c r="E15" s="3"/>
      <c r="F15" s="3"/>
    </row>
    <row r="16" spans="1:12" x14ac:dyDescent="0.25">
      <c r="A16" s="62" t="s">
        <v>178</v>
      </c>
    </row>
    <row r="20" spans="1:2" x14ac:dyDescent="0.25">
      <c r="A20" s="14"/>
      <c r="B20" t="s">
        <v>28</v>
      </c>
    </row>
    <row r="21" spans="1:2" x14ac:dyDescent="0.25">
      <c r="A21" s="15"/>
      <c r="B21" t="s">
        <v>106</v>
      </c>
    </row>
    <row r="22" spans="1:2" x14ac:dyDescent="0.25">
      <c r="A22" t="s">
        <v>76</v>
      </c>
      <c r="B22" t="s">
        <v>107</v>
      </c>
    </row>
  </sheetData>
  <conditionalFormatting sqref="J2:J13">
    <cfRule type="containsText" dxfId="1" priority="1" operator="containsText" text="Not Ok">
      <formula>NOT(ISERROR(SEARCH("Not Ok",J2)))</formula>
    </cfRule>
  </conditionalFormatting>
  <dataValidations count="3">
    <dataValidation type="list" allowBlank="1" showInputMessage="1" showErrorMessage="1" sqref="B14" xr:uid="{5F2D5F3D-858D-415D-8F05-75056B5B1521}">
      <formula1>user_id</formula1>
    </dataValidation>
    <dataValidation type="list" allowBlank="1" showInputMessage="1" showErrorMessage="1" sqref="H2:H13" xr:uid="{0413B2AC-E84A-49ED-B79D-6E1D891F8703}">
      <formula1>funcName</formula1>
    </dataValidation>
    <dataValidation type="list" allowBlank="1" showInputMessage="1" showErrorMessage="1" sqref="I2:I13" xr:uid="{3D14B8E2-E955-4E06-B032-81B9DCE7638E}">
      <formula1>roleName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93" r:id="rId4" name="Button 49">
              <controlPr defaultSize="0" print="0" autoFill="0" autoPict="0" macro="[0]!Revalidate">
                <anchor moveWithCells="1" sizeWithCells="1">
                  <from>
                    <xdr:col>9</xdr:col>
                    <xdr:colOff>2113472</xdr:colOff>
                    <xdr:row>0</xdr:row>
                    <xdr:rowOff>370936</xdr:rowOff>
                  </from>
                  <to>
                    <xdr:col>9</xdr:col>
                    <xdr:colOff>2855343</xdr:colOff>
                    <xdr:row>0</xdr:row>
                    <xdr:rowOff>543464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5" name="Button 81">
              <controlPr defaultSize="0" print="0" autoFill="0" autoPict="0" macro="[0]!GenerateID">
                <anchor moveWithCells="1">
                  <from>
                    <xdr:col>0</xdr:col>
                    <xdr:colOff>69011</xdr:colOff>
                    <xdr:row>13</xdr:row>
                    <xdr:rowOff>155275</xdr:rowOff>
                  </from>
                  <to>
                    <xdr:col>0</xdr:col>
                    <xdr:colOff>1199072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C2230-71F5-4BD1-B4B9-627EA1F41462}">
  <sheetPr codeName="Sheet7"/>
  <dimension ref="A1:K12"/>
  <sheetViews>
    <sheetView topLeftCell="A4" workbookViewId="0">
      <selection activeCell="J1" sqref="J1"/>
    </sheetView>
  </sheetViews>
  <sheetFormatPr defaultRowHeight="14.3" x14ac:dyDescent="0.25"/>
  <cols>
    <col min="1" max="1" width="21.5" bestFit="1" customWidth="1"/>
    <col min="2" max="2" width="21.5" customWidth="1"/>
    <col min="3" max="3" width="44" customWidth="1"/>
    <col min="4" max="4" width="12.125" customWidth="1"/>
    <col min="5" max="5" width="13.375" customWidth="1"/>
    <col min="6" max="6" width="12.5" customWidth="1"/>
    <col min="7" max="7" width="3.875" customWidth="1"/>
    <col min="8" max="8" width="37.25" customWidth="1"/>
    <col min="9" max="9" width="20.25" customWidth="1"/>
    <col min="10" max="10" width="21.375" customWidth="1"/>
    <col min="15" max="15" width="23.875" bestFit="1" customWidth="1"/>
  </cols>
  <sheetData>
    <row r="1" spans="1:11" ht="121.1" customHeight="1" x14ac:dyDescent="0.25">
      <c r="A1" s="88" t="s">
        <v>30</v>
      </c>
      <c r="B1" s="89" t="s">
        <v>20</v>
      </c>
      <c r="C1" s="90" t="s">
        <v>191</v>
      </c>
      <c r="D1" s="70" t="s">
        <v>2</v>
      </c>
      <c r="E1" s="70" t="s">
        <v>3</v>
      </c>
      <c r="F1" s="70" t="s">
        <v>4</v>
      </c>
      <c r="G1" s="71" t="s">
        <v>75</v>
      </c>
      <c r="H1" s="91" t="s">
        <v>123</v>
      </c>
      <c r="I1" s="98" t="s">
        <v>173</v>
      </c>
      <c r="J1" s="92" t="s">
        <v>177</v>
      </c>
    </row>
    <row r="2" spans="1:11" ht="27.55" customHeight="1" x14ac:dyDescent="0.25">
      <c r="A2" s="103" t="s">
        <v>244</v>
      </c>
      <c r="B2" s="47" t="str">
        <f t="shared" ref="B2:B3" si="0">VLOOKUP(H2,functable,2,0)</f>
        <v>2010251238597250367S</v>
      </c>
      <c r="C2" s="46" t="s">
        <v>171</v>
      </c>
      <c r="D2" s="29" t="s">
        <v>7</v>
      </c>
      <c r="E2" s="31" t="s">
        <v>7</v>
      </c>
      <c r="F2" s="96">
        <v>0</v>
      </c>
      <c r="H2" s="61" t="s">
        <v>150</v>
      </c>
      <c r="I2" s="93" t="str">
        <f>GetRolesAssignedtoFunctionAPI(H2)</f>
        <v xml:space="preserve">Finance Manager_x000D_
Loan Manager_x000D_
</v>
      </c>
      <c r="J2" s="67" t="b">
        <f>VLOOKUP(H2,AC_Function!C3:M10,11,0)</f>
        <v>1</v>
      </c>
      <c r="K2" s="65"/>
    </row>
    <row r="3" spans="1:11" ht="32.950000000000003" customHeight="1" x14ac:dyDescent="0.25">
      <c r="A3" s="103" t="s">
        <v>245</v>
      </c>
      <c r="B3" s="47" t="str">
        <f t="shared" si="0"/>
        <v>2010251238596049360P</v>
      </c>
      <c r="C3" s="46" t="s">
        <v>172</v>
      </c>
      <c r="D3" s="29" t="s">
        <v>7</v>
      </c>
      <c r="E3" s="31" t="s">
        <v>7</v>
      </c>
      <c r="F3" s="96">
        <v>0</v>
      </c>
      <c r="H3" s="61" t="s">
        <v>149</v>
      </c>
      <c r="I3" s="93" t="str">
        <f>GetRolesAssignedtoFunctionAPI(H3)</f>
        <v xml:space="preserve">Finance Manager_x000D_
Loan Manager_x000D_
</v>
      </c>
      <c r="J3" s="66" t="b">
        <f>VLOOKUP(H3,AC_Function!C4:M11,11,0)</f>
        <v>1</v>
      </c>
      <c r="K3" s="65"/>
    </row>
    <row r="4" spans="1:11" ht="76.099999999999994" customHeight="1" x14ac:dyDescent="0.25">
      <c r="A4" s="84" t="s">
        <v>75</v>
      </c>
      <c r="B4" s="85" t="s">
        <v>102</v>
      </c>
      <c r="C4" s="84"/>
      <c r="D4" s="84"/>
      <c r="E4" s="86"/>
      <c r="F4" s="97"/>
      <c r="H4" s="77"/>
      <c r="I4" s="87" t="s">
        <v>125</v>
      </c>
      <c r="J4" s="87" t="s">
        <v>159</v>
      </c>
    </row>
    <row r="5" spans="1:11" x14ac:dyDescent="0.25">
      <c r="E5" s="3"/>
      <c r="F5" s="3"/>
      <c r="H5" s="2" t="s">
        <v>108</v>
      </c>
    </row>
    <row r="10" spans="1:11" x14ac:dyDescent="0.25">
      <c r="A10" s="14"/>
      <c r="B10" t="s">
        <v>28</v>
      </c>
    </row>
    <row r="11" spans="1:11" x14ac:dyDescent="0.25">
      <c r="A11" s="15"/>
      <c r="B11" t="s">
        <v>106</v>
      </c>
    </row>
    <row r="12" spans="1:11" x14ac:dyDescent="0.25">
      <c r="A12" t="s">
        <v>76</v>
      </c>
      <c r="B12" t="s">
        <v>107</v>
      </c>
    </row>
  </sheetData>
  <conditionalFormatting sqref="J2:J3">
    <cfRule type="cellIs" dxfId="0" priority="8" operator="equal">
      <formula>FALSE</formula>
    </cfRule>
  </conditionalFormatting>
  <dataValidations count="2">
    <dataValidation type="list" allowBlank="1" showInputMessage="1" showErrorMessage="1" sqref="C4" xr:uid="{9282CE04-7FAC-4C5F-B827-43EF5AD3FFC0}">
      <formula1>user_id</formula1>
    </dataValidation>
    <dataValidation type="list" allowBlank="1" showInputMessage="1" showErrorMessage="1" sqref="H2:H3" xr:uid="{7DFC4EAD-86A1-4CBA-8A12-0AD20E095B3A}">
      <formula1>funcName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Revalidate">
                <anchor moveWithCells="1" sizeWithCells="1">
                  <from>
                    <xdr:col>9</xdr:col>
                    <xdr:colOff>690113</xdr:colOff>
                    <xdr:row>0</xdr:row>
                    <xdr:rowOff>1337094</xdr:rowOff>
                  </from>
                  <to>
                    <xdr:col>9</xdr:col>
                    <xdr:colOff>1431985</xdr:colOff>
                    <xdr:row>0</xdr:row>
                    <xdr:rowOff>1475117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5" name="Button 15">
              <controlPr defaultSize="0" print="0" autoFill="0" autoPict="0" macro="[0]!GenerateID">
                <anchor moveWithCells="1">
                  <from>
                    <xdr:col>0</xdr:col>
                    <xdr:colOff>86264</xdr:colOff>
                    <xdr:row>3</xdr:row>
                    <xdr:rowOff>388189</xdr:rowOff>
                  </from>
                  <to>
                    <xdr:col>0</xdr:col>
                    <xdr:colOff>1285336</xdr:colOff>
                    <xdr:row>3</xdr:row>
                    <xdr:rowOff>612475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BB34E-4E44-402B-997A-9947550FB905}">
  <sheetPr codeName="Sheet8"/>
  <dimension ref="A1:K38"/>
  <sheetViews>
    <sheetView topLeftCell="A18" workbookViewId="0">
      <selection activeCell="B28" sqref="B28"/>
    </sheetView>
  </sheetViews>
  <sheetFormatPr defaultRowHeight="14.3" x14ac:dyDescent="0.25"/>
  <cols>
    <col min="1" max="1" width="21.875" bestFit="1" customWidth="1"/>
    <col min="2" max="2" width="31.875" customWidth="1"/>
    <col min="3" max="3" width="45.625" customWidth="1"/>
    <col min="4" max="4" width="10.5" customWidth="1"/>
    <col min="5" max="5" width="62.875" customWidth="1"/>
    <col min="6" max="6" width="39.625" customWidth="1"/>
    <col min="7" max="7" width="11.625" customWidth="1"/>
    <col min="8" max="8" width="13.375" customWidth="1"/>
    <col min="9" max="9" width="12.5" customWidth="1"/>
    <col min="10" max="10" width="11.125" customWidth="1"/>
    <col min="11" max="11" width="2.875" bestFit="1" customWidth="1"/>
    <col min="20" max="20" width="23.875" bestFit="1" customWidth="1"/>
  </cols>
  <sheetData>
    <row r="1" spans="1:11" x14ac:dyDescent="0.25">
      <c r="A1" s="4" t="s">
        <v>31</v>
      </c>
      <c r="B1" s="4" t="s">
        <v>35</v>
      </c>
      <c r="C1" s="5" t="s">
        <v>47</v>
      </c>
      <c r="D1" s="5" t="s">
        <v>32</v>
      </c>
      <c r="E1" s="5" t="s">
        <v>33</v>
      </c>
      <c r="F1" s="5" t="s">
        <v>58</v>
      </c>
      <c r="G1" s="5" t="s">
        <v>118</v>
      </c>
      <c r="H1" s="5" t="s">
        <v>2</v>
      </c>
      <c r="I1" s="5" t="s">
        <v>3</v>
      </c>
      <c r="J1" s="6" t="s">
        <v>74</v>
      </c>
      <c r="K1" s="26" t="s">
        <v>75</v>
      </c>
    </row>
    <row r="2" spans="1:11" x14ac:dyDescent="0.25">
      <c r="A2" s="118" t="s">
        <v>198</v>
      </c>
      <c r="B2" s="36" t="s">
        <v>36</v>
      </c>
      <c r="C2" s="36" t="s">
        <v>37</v>
      </c>
      <c r="D2" s="54" t="s">
        <v>48</v>
      </c>
      <c r="E2" s="21" t="s">
        <v>53</v>
      </c>
      <c r="F2" s="21" t="s">
        <v>59</v>
      </c>
      <c r="G2" s="53" t="s">
        <v>6</v>
      </c>
      <c r="H2" s="36" t="s">
        <v>7</v>
      </c>
      <c r="I2" s="94" t="s">
        <v>7</v>
      </c>
      <c r="J2" s="95">
        <v>0</v>
      </c>
    </row>
    <row r="3" spans="1:11" ht="28.55" x14ac:dyDescent="0.25">
      <c r="A3" s="119" t="s">
        <v>199</v>
      </c>
      <c r="B3" s="36" t="s">
        <v>36</v>
      </c>
      <c r="C3" s="58" t="s">
        <v>38</v>
      </c>
      <c r="D3" s="55" t="s">
        <v>48</v>
      </c>
      <c r="E3" s="22" t="s">
        <v>54</v>
      </c>
      <c r="F3" s="22" t="s">
        <v>60</v>
      </c>
      <c r="G3" s="53" t="s">
        <v>6</v>
      </c>
      <c r="H3" s="36" t="s">
        <v>7</v>
      </c>
      <c r="I3" s="94" t="s">
        <v>7</v>
      </c>
      <c r="J3" s="95">
        <v>0</v>
      </c>
    </row>
    <row r="4" spans="1:11" x14ac:dyDescent="0.25">
      <c r="A4" s="119" t="s">
        <v>200</v>
      </c>
      <c r="B4" s="36" t="s">
        <v>36</v>
      </c>
      <c r="C4" s="36" t="s">
        <v>39</v>
      </c>
      <c r="D4" s="54" t="s">
        <v>48</v>
      </c>
      <c r="E4" s="21">
        <v>1</v>
      </c>
      <c r="F4" s="21"/>
      <c r="G4" s="53" t="s">
        <v>6</v>
      </c>
      <c r="H4" s="36" t="s">
        <v>7</v>
      </c>
      <c r="I4" s="94" t="s">
        <v>7</v>
      </c>
      <c r="J4" s="95">
        <v>0</v>
      </c>
    </row>
    <row r="5" spans="1:11" x14ac:dyDescent="0.25">
      <c r="A5" s="119" t="s">
        <v>201</v>
      </c>
      <c r="B5" s="36" t="s">
        <v>36</v>
      </c>
      <c r="C5" s="58" t="s">
        <v>40</v>
      </c>
      <c r="D5" s="55" t="s">
        <v>48</v>
      </c>
      <c r="E5" s="22" t="s">
        <v>55</v>
      </c>
      <c r="F5" s="22"/>
      <c r="G5" s="53" t="s">
        <v>6</v>
      </c>
      <c r="H5" s="36" t="s">
        <v>7</v>
      </c>
      <c r="I5" s="94" t="s">
        <v>7</v>
      </c>
      <c r="J5" s="95">
        <v>0</v>
      </c>
    </row>
    <row r="6" spans="1:11" ht="28.55" x14ac:dyDescent="0.25">
      <c r="A6" s="119" t="s">
        <v>202</v>
      </c>
      <c r="B6" s="36" t="s">
        <v>36</v>
      </c>
      <c r="C6" s="36" t="s">
        <v>41</v>
      </c>
      <c r="D6" s="54" t="s">
        <v>49</v>
      </c>
      <c r="E6" s="21">
        <v>900000</v>
      </c>
      <c r="F6" s="21" t="s">
        <v>61</v>
      </c>
      <c r="G6" s="53" t="s">
        <v>6</v>
      </c>
      <c r="H6" s="36" t="s">
        <v>7</v>
      </c>
      <c r="I6" s="94" t="s">
        <v>7</v>
      </c>
      <c r="J6" s="95">
        <v>0</v>
      </c>
    </row>
    <row r="7" spans="1:11" ht="28.55" x14ac:dyDescent="0.25">
      <c r="A7" s="119" t="s">
        <v>203</v>
      </c>
      <c r="B7" s="36" t="s">
        <v>36</v>
      </c>
      <c r="C7" s="36" t="s">
        <v>42</v>
      </c>
      <c r="D7" s="54" t="s">
        <v>48</v>
      </c>
      <c r="E7" s="36" t="s">
        <v>56</v>
      </c>
      <c r="F7" s="21" t="s">
        <v>62</v>
      </c>
      <c r="G7" s="53" t="s">
        <v>6</v>
      </c>
      <c r="H7" s="36" t="s">
        <v>7</v>
      </c>
      <c r="I7" s="94" t="s">
        <v>7</v>
      </c>
      <c r="J7" s="95">
        <v>0</v>
      </c>
    </row>
    <row r="8" spans="1:11" ht="28.55" x14ac:dyDescent="0.25">
      <c r="A8" s="119" t="s">
        <v>204</v>
      </c>
      <c r="B8" s="36" t="s">
        <v>36</v>
      </c>
      <c r="C8" s="36" t="s">
        <v>43</v>
      </c>
      <c r="D8" s="54" t="s">
        <v>48</v>
      </c>
      <c r="E8" s="36" t="s">
        <v>57</v>
      </c>
      <c r="F8" s="21" t="s">
        <v>63</v>
      </c>
      <c r="G8" s="53" t="s">
        <v>6</v>
      </c>
      <c r="H8" s="36" t="s">
        <v>7</v>
      </c>
      <c r="I8" s="94" t="s">
        <v>7</v>
      </c>
      <c r="J8" s="95">
        <v>0</v>
      </c>
    </row>
    <row r="9" spans="1:11" ht="28.55" x14ac:dyDescent="0.25">
      <c r="A9" s="119" t="s">
        <v>205</v>
      </c>
      <c r="B9" s="57" t="s">
        <v>52</v>
      </c>
      <c r="C9" s="57" t="s">
        <v>46</v>
      </c>
      <c r="D9" s="56" t="s">
        <v>50</v>
      </c>
      <c r="E9" s="37" t="b">
        <v>1</v>
      </c>
      <c r="F9" s="25" t="s">
        <v>73</v>
      </c>
      <c r="G9" s="53" t="s">
        <v>6</v>
      </c>
      <c r="H9" s="36" t="s">
        <v>7</v>
      </c>
      <c r="I9" s="94" t="s">
        <v>7</v>
      </c>
      <c r="J9" s="95">
        <v>0</v>
      </c>
    </row>
    <row r="10" spans="1:11" ht="28.55" x14ac:dyDescent="0.25">
      <c r="A10" s="119" t="s">
        <v>206</v>
      </c>
      <c r="B10" s="58" t="s">
        <v>51</v>
      </c>
      <c r="C10" s="58" t="s">
        <v>113</v>
      </c>
      <c r="D10" s="55" t="s">
        <v>50</v>
      </c>
      <c r="E10" s="38" t="b">
        <v>1</v>
      </c>
      <c r="F10" s="22" t="s">
        <v>64</v>
      </c>
      <c r="G10" s="53" t="s">
        <v>6</v>
      </c>
      <c r="H10" s="36" t="s">
        <v>7</v>
      </c>
      <c r="I10" s="94" t="s">
        <v>7</v>
      </c>
      <c r="J10" s="95">
        <v>0</v>
      </c>
    </row>
    <row r="11" spans="1:11" ht="28.55" x14ac:dyDescent="0.25">
      <c r="A11" s="119" t="s">
        <v>207</v>
      </c>
      <c r="B11" s="58" t="s">
        <v>51</v>
      </c>
      <c r="C11" s="58" t="s">
        <v>44</v>
      </c>
      <c r="D11" s="55" t="s">
        <v>49</v>
      </c>
      <c r="E11" s="39">
        <v>3</v>
      </c>
      <c r="F11" s="22" t="s">
        <v>65</v>
      </c>
      <c r="G11" s="53" t="s">
        <v>6</v>
      </c>
      <c r="H11" s="36" t="s">
        <v>7</v>
      </c>
      <c r="I11" s="94" t="s">
        <v>7</v>
      </c>
      <c r="J11" s="95">
        <v>0</v>
      </c>
    </row>
    <row r="12" spans="1:11" ht="28.55" x14ac:dyDescent="0.25">
      <c r="A12" s="119" t="s">
        <v>208</v>
      </c>
      <c r="B12" s="58" t="s">
        <v>51</v>
      </c>
      <c r="C12" s="58" t="s">
        <v>45</v>
      </c>
      <c r="D12" s="55" t="s">
        <v>49</v>
      </c>
      <c r="E12" s="39">
        <v>1</v>
      </c>
      <c r="F12" s="22" t="s">
        <v>66</v>
      </c>
      <c r="G12" s="53" t="s">
        <v>6</v>
      </c>
      <c r="H12" s="36" t="s">
        <v>7</v>
      </c>
      <c r="I12" s="94" t="s">
        <v>7</v>
      </c>
      <c r="J12" s="95">
        <v>0</v>
      </c>
    </row>
    <row r="13" spans="1:11" ht="28.55" x14ac:dyDescent="0.25">
      <c r="A13" s="119" t="s">
        <v>209</v>
      </c>
      <c r="B13" s="58" t="s">
        <v>51</v>
      </c>
      <c r="C13" s="58" t="s">
        <v>101</v>
      </c>
      <c r="D13" s="55" t="s">
        <v>49</v>
      </c>
      <c r="E13" s="39">
        <v>6</v>
      </c>
      <c r="F13" s="22" t="s">
        <v>100</v>
      </c>
      <c r="G13" s="53" t="s">
        <v>6</v>
      </c>
      <c r="H13" s="36" t="s">
        <v>7</v>
      </c>
      <c r="I13" s="94" t="s">
        <v>7</v>
      </c>
      <c r="J13" s="95">
        <v>0</v>
      </c>
    </row>
    <row r="14" spans="1:11" x14ac:dyDescent="0.25">
      <c r="A14" s="119" t="s">
        <v>210</v>
      </c>
      <c r="B14" s="58" t="s">
        <v>51</v>
      </c>
      <c r="C14" s="58" t="s">
        <v>109</v>
      </c>
      <c r="D14" s="55" t="s">
        <v>49</v>
      </c>
      <c r="E14" s="39">
        <v>12</v>
      </c>
      <c r="F14" s="22" t="s">
        <v>110</v>
      </c>
      <c r="G14" s="53" t="s">
        <v>6</v>
      </c>
      <c r="H14" s="36" t="s">
        <v>7</v>
      </c>
      <c r="I14" s="94" t="s">
        <v>7</v>
      </c>
      <c r="J14" s="95">
        <v>0</v>
      </c>
    </row>
    <row r="15" spans="1:11" ht="42.8" x14ac:dyDescent="0.25">
      <c r="A15" s="119" t="s">
        <v>211</v>
      </c>
      <c r="B15" s="58" t="s">
        <v>51</v>
      </c>
      <c r="C15" s="58" t="s">
        <v>111</v>
      </c>
      <c r="D15" s="55" t="s">
        <v>49</v>
      </c>
      <c r="E15" s="39">
        <v>15</v>
      </c>
      <c r="F15" s="22" t="s">
        <v>112</v>
      </c>
      <c r="G15" s="53" t="s">
        <v>6</v>
      </c>
      <c r="H15" s="36" t="s">
        <v>7</v>
      </c>
      <c r="I15" s="94" t="s">
        <v>7</v>
      </c>
      <c r="J15" s="95">
        <v>0</v>
      </c>
    </row>
    <row r="16" spans="1:11" ht="42.8" x14ac:dyDescent="0.25">
      <c r="A16" s="120" t="s">
        <v>212</v>
      </c>
      <c r="B16" s="57" t="s">
        <v>67</v>
      </c>
      <c r="C16" s="40" t="s">
        <v>68</v>
      </c>
      <c r="D16" s="56" t="s">
        <v>48</v>
      </c>
      <c r="E16" s="40" t="s">
        <v>68</v>
      </c>
      <c r="F16" s="25" t="s">
        <v>116</v>
      </c>
      <c r="G16" s="53" t="s">
        <v>6</v>
      </c>
      <c r="H16" s="36" t="s">
        <v>7</v>
      </c>
      <c r="I16" s="94" t="s">
        <v>7</v>
      </c>
      <c r="J16" s="95">
        <v>0</v>
      </c>
    </row>
    <row r="17" spans="1:11" ht="42.8" x14ac:dyDescent="0.25">
      <c r="A17" s="120" t="s">
        <v>213</v>
      </c>
      <c r="B17" s="57" t="s">
        <v>67</v>
      </c>
      <c r="C17" s="40" t="s">
        <v>69</v>
      </c>
      <c r="D17" s="56" t="s">
        <v>48</v>
      </c>
      <c r="E17" s="40" t="s">
        <v>69</v>
      </c>
      <c r="F17" s="25" t="s">
        <v>116</v>
      </c>
      <c r="G17" s="53" t="s">
        <v>6</v>
      </c>
      <c r="H17" s="36" t="s">
        <v>7</v>
      </c>
      <c r="I17" s="94" t="s">
        <v>7</v>
      </c>
      <c r="J17" s="95">
        <v>0</v>
      </c>
    </row>
    <row r="18" spans="1:11" ht="42.8" x14ac:dyDescent="0.25">
      <c r="A18" s="120" t="s">
        <v>214</v>
      </c>
      <c r="B18" s="57" t="s">
        <v>67</v>
      </c>
      <c r="C18" s="40" t="s">
        <v>70</v>
      </c>
      <c r="D18" s="56" t="s">
        <v>48</v>
      </c>
      <c r="E18" s="40" t="s">
        <v>70</v>
      </c>
      <c r="F18" s="25" t="s">
        <v>116</v>
      </c>
      <c r="G18" s="53" t="s">
        <v>6</v>
      </c>
      <c r="H18" s="36" t="s">
        <v>7</v>
      </c>
      <c r="I18" s="94" t="s">
        <v>7</v>
      </c>
      <c r="J18" s="95">
        <v>0</v>
      </c>
    </row>
    <row r="19" spans="1:11" ht="42.8" x14ac:dyDescent="0.25">
      <c r="A19" s="120" t="s">
        <v>215</v>
      </c>
      <c r="B19" s="57" t="s">
        <v>67</v>
      </c>
      <c r="C19" s="40" t="s">
        <v>71</v>
      </c>
      <c r="D19" s="56" t="s">
        <v>48</v>
      </c>
      <c r="E19" s="40" t="s">
        <v>71</v>
      </c>
      <c r="F19" s="25" t="s">
        <v>116</v>
      </c>
      <c r="G19" s="53" t="s">
        <v>6</v>
      </c>
      <c r="H19" s="36" t="s">
        <v>7</v>
      </c>
      <c r="I19" s="94" t="s">
        <v>7</v>
      </c>
      <c r="J19" s="95">
        <v>0</v>
      </c>
    </row>
    <row r="20" spans="1:11" ht="42.8" x14ac:dyDescent="0.25">
      <c r="A20" s="120" t="s">
        <v>216</v>
      </c>
      <c r="B20" s="57" t="s">
        <v>67</v>
      </c>
      <c r="C20" s="40" t="s">
        <v>72</v>
      </c>
      <c r="D20" s="56" t="s">
        <v>48</v>
      </c>
      <c r="E20" s="40" t="s">
        <v>72</v>
      </c>
      <c r="F20" s="25" t="s">
        <v>116</v>
      </c>
      <c r="G20" s="53" t="s">
        <v>6</v>
      </c>
      <c r="H20" s="36" t="s">
        <v>7</v>
      </c>
      <c r="I20" s="94" t="s">
        <v>7</v>
      </c>
      <c r="J20" s="95">
        <v>0</v>
      </c>
    </row>
    <row r="21" spans="1:11" ht="42.8" x14ac:dyDescent="0.25">
      <c r="A21" s="120" t="s">
        <v>217</v>
      </c>
      <c r="B21" s="57" t="s">
        <v>119</v>
      </c>
      <c r="C21" s="40" t="s">
        <v>160</v>
      </c>
      <c r="D21" s="56" t="s">
        <v>48</v>
      </c>
      <c r="E21" s="40" t="s">
        <v>160</v>
      </c>
      <c r="F21" s="25" t="s">
        <v>116</v>
      </c>
      <c r="G21" s="53" t="s">
        <v>6</v>
      </c>
      <c r="H21" s="36" t="s">
        <v>7</v>
      </c>
      <c r="I21" s="94" t="s">
        <v>7</v>
      </c>
      <c r="J21" s="95">
        <v>0</v>
      </c>
    </row>
    <row r="22" spans="1:11" ht="57.1" x14ac:dyDescent="0.25">
      <c r="A22" s="120" t="s">
        <v>218</v>
      </c>
      <c r="B22" s="57" t="s">
        <v>119</v>
      </c>
      <c r="C22" s="40" t="s">
        <v>114</v>
      </c>
      <c r="D22" s="56" t="s">
        <v>48</v>
      </c>
      <c r="E22" s="40" t="s">
        <v>114</v>
      </c>
      <c r="F22" s="25" t="s">
        <v>117</v>
      </c>
      <c r="G22" s="53" t="s">
        <v>6</v>
      </c>
      <c r="H22" s="36" t="s">
        <v>7</v>
      </c>
      <c r="I22" s="94" t="s">
        <v>7</v>
      </c>
      <c r="J22" s="95">
        <v>0</v>
      </c>
    </row>
    <row r="23" spans="1:11" ht="57.1" x14ac:dyDescent="0.25">
      <c r="A23" s="120" t="s">
        <v>219</v>
      </c>
      <c r="B23" s="57" t="s">
        <v>119</v>
      </c>
      <c r="C23" s="40" t="s">
        <v>115</v>
      </c>
      <c r="D23" s="56" t="s">
        <v>48</v>
      </c>
      <c r="E23" s="40" t="s">
        <v>115</v>
      </c>
      <c r="F23" s="25" t="s">
        <v>117</v>
      </c>
      <c r="G23" s="53" t="s">
        <v>6</v>
      </c>
      <c r="H23" s="36" t="s">
        <v>7</v>
      </c>
      <c r="I23" s="94" t="s">
        <v>7</v>
      </c>
      <c r="J23" s="95">
        <v>0</v>
      </c>
    </row>
    <row r="24" spans="1:11" ht="57.1" x14ac:dyDescent="0.25">
      <c r="A24" s="120" t="s">
        <v>220</v>
      </c>
      <c r="B24" s="57" t="s">
        <v>119</v>
      </c>
      <c r="C24" s="40" t="s">
        <v>161</v>
      </c>
      <c r="D24" s="56" t="s">
        <v>48</v>
      </c>
      <c r="E24" s="40" t="s">
        <v>161</v>
      </c>
      <c r="F24" s="25" t="s">
        <v>117</v>
      </c>
      <c r="G24" s="53" t="s">
        <v>6</v>
      </c>
      <c r="H24" s="36" t="s">
        <v>7</v>
      </c>
      <c r="I24" s="94" t="s">
        <v>7</v>
      </c>
      <c r="J24" s="95">
        <v>0</v>
      </c>
    </row>
    <row r="25" spans="1:11" ht="57.1" x14ac:dyDescent="0.25">
      <c r="A25" s="120" t="s">
        <v>221</v>
      </c>
      <c r="B25" s="57" t="s">
        <v>119</v>
      </c>
      <c r="C25" s="40" t="s">
        <v>162</v>
      </c>
      <c r="D25" s="56" t="s">
        <v>48</v>
      </c>
      <c r="E25" s="40" t="s">
        <v>162</v>
      </c>
      <c r="F25" s="25" t="s">
        <v>117</v>
      </c>
      <c r="G25" s="53" t="s">
        <v>6</v>
      </c>
      <c r="H25" s="36" t="s">
        <v>7</v>
      </c>
      <c r="I25" s="94" t="s">
        <v>7</v>
      </c>
      <c r="J25" s="95">
        <v>0</v>
      </c>
    </row>
    <row r="26" spans="1:11" ht="57.1" x14ac:dyDescent="0.25">
      <c r="A26" s="122" t="s">
        <v>267</v>
      </c>
      <c r="B26" s="57" t="s">
        <v>119</v>
      </c>
      <c r="C26" s="40" t="s">
        <v>268</v>
      </c>
      <c r="D26" s="56" t="s">
        <v>48</v>
      </c>
      <c r="E26" s="40" t="s">
        <v>268</v>
      </c>
      <c r="F26" s="25" t="s">
        <v>117</v>
      </c>
      <c r="G26" s="53" t="s">
        <v>6</v>
      </c>
      <c r="H26" s="36" t="s">
        <v>7</v>
      </c>
      <c r="I26" s="94" t="s">
        <v>7</v>
      </c>
      <c r="J26" s="95">
        <v>0</v>
      </c>
    </row>
    <row r="27" spans="1:11" ht="38.549999999999997" customHeight="1" x14ac:dyDescent="0.25">
      <c r="A27" s="104" t="s">
        <v>75</v>
      </c>
      <c r="B27" s="15"/>
      <c r="C27" s="23"/>
      <c r="D27" s="23"/>
      <c r="E27" s="23"/>
      <c r="F27" s="23"/>
      <c r="G27" s="23"/>
      <c r="H27" s="23"/>
      <c r="I27" s="23"/>
      <c r="J27" s="24"/>
      <c r="K27" s="20"/>
    </row>
    <row r="28" spans="1:11" x14ac:dyDescent="0.25">
      <c r="H28" s="3"/>
      <c r="I28" s="3"/>
    </row>
    <row r="29" spans="1:11" x14ac:dyDescent="0.25">
      <c r="A29" s="123" t="s">
        <v>269</v>
      </c>
    </row>
    <row r="33" spans="1:5" x14ac:dyDescent="0.25">
      <c r="A33" s="14"/>
      <c r="B33" t="s">
        <v>28</v>
      </c>
      <c r="E33" s="52"/>
    </row>
    <row r="34" spans="1:5" x14ac:dyDescent="0.25">
      <c r="A34" s="15"/>
      <c r="B34" t="s">
        <v>106</v>
      </c>
    </row>
    <row r="35" spans="1:5" x14ac:dyDescent="0.25">
      <c r="A35" t="s">
        <v>76</v>
      </c>
      <c r="B35" t="s">
        <v>107</v>
      </c>
    </row>
    <row r="36" spans="1:5" x14ac:dyDescent="0.25">
      <c r="A36" s="2"/>
    </row>
    <row r="38" spans="1:5" x14ac:dyDescent="0.25">
      <c r="E38" s="52"/>
    </row>
  </sheetData>
  <dataValidations count="1">
    <dataValidation type="list" allowBlank="1" showInputMessage="1" showErrorMessage="1" sqref="D2:D27" xr:uid="{8F3E2BCD-8659-4F34-8433-3D515B771080}">
      <formula1>"S,N,D,B"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nerateID">
                <anchor moveWithCells="1">
                  <from>
                    <xdr:col>0</xdr:col>
                    <xdr:colOff>69011</xdr:colOff>
                    <xdr:row>26</xdr:row>
                    <xdr:rowOff>207034</xdr:rowOff>
                  </from>
                  <to>
                    <xdr:col>0</xdr:col>
                    <xdr:colOff>854015</xdr:colOff>
                    <xdr:row>27</xdr:row>
                    <xdr:rowOff>181155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CM_Signatory</vt:lpstr>
      <vt:lpstr>CM_LetterHead</vt:lpstr>
      <vt:lpstr>CM_Notices</vt:lpstr>
      <vt:lpstr>CM_NoticeFields</vt:lpstr>
      <vt:lpstr>Template</vt:lpstr>
      <vt:lpstr>Generate UID</vt:lpstr>
      <vt:lpstr>AC_Role</vt:lpstr>
      <vt:lpstr>AC_User</vt:lpstr>
      <vt:lpstr>AC_UserRole</vt:lpstr>
      <vt:lpstr>AC_Function</vt:lpstr>
      <vt:lpstr>AC_FunctionRole</vt:lpstr>
      <vt:lpstr>AC_FunctionAPI</vt:lpstr>
      <vt:lpstr>SC_Config</vt:lpstr>
      <vt:lpstr>funcId</vt:lpstr>
      <vt:lpstr>funcName</vt:lpstr>
      <vt:lpstr>funcRole</vt:lpstr>
      <vt:lpstr>funcRoleNames</vt:lpstr>
      <vt:lpstr>functable</vt:lpstr>
      <vt:lpstr>noticeTable</vt:lpstr>
      <vt:lpstr>observableRange</vt:lpstr>
      <vt:lpstr>roleId</vt:lpstr>
      <vt:lpstr>roleName</vt:lpstr>
      <vt:lpstr>RoleTable</vt:lpstr>
      <vt:lpstr>roleUsers</vt:lpstr>
      <vt:lpstr>userName</vt:lpstr>
      <vt:lpstr>UserTable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Anurag Gandhi</dc:creator>
  <cp:lastModifiedBy>Neo Hwee Choon  (NCS)</cp:lastModifiedBy>
  <dcterms:created xsi:type="dcterms:W3CDTF">2019-06-23T04:23:57Z</dcterms:created>
  <dcterms:modified xsi:type="dcterms:W3CDTF">2022-03-12T04:33:09Z</dcterms:modified>
</cp:coreProperties>
</file>